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kbar\Desktop\Delhivery Research\3. Model\"/>
    </mc:Choice>
  </mc:AlternateContent>
  <xr:revisionPtr revIDLastSave="0" documentId="13_ncr:1_{5DEFAE72-9B16-4195-8A4A-7D9FD6B3F41E}" xr6:coauthVersionLast="47" xr6:coauthVersionMax="47" xr10:uidLastSave="{00000000-0000-0000-0000-000000000000}"/>
  <bookViews>
    <workbookView xWindow="-108" yWindow="-108" windowWidth="23256" windowHeight="12456" tabRatio="853" xr2:uid="{00000000-000D-0000-FFFF-FFFF00000000}"/>
  </bookViews>
  <sheets>
    <sheet name="Cover" sheetId="1" r:id="rId1"/>
    <sheet name="Assumptions" sheetId="10" r:id="rId2"/>
    <sheet name="Income Statement" sheetId="3" r:id="rId3"/>
    <sheet name="Balance Sheet" sheetId="4" r:id="rId4"/>
    <sheet name="Cash Flow" sheetId="5" r:id="rId5"/>
    <sheet name="Unit Economics" sheetId="6" r:id="rId6"/>
    <sheet name="Comps" sheetId="7" r:id="rId7"/>
    <sheet name="DCF" sheetId="8" r:id="rId8"/>
    <sheet name="Scenario Summary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7" l="1"/>
  <c r="E19" i="7"/>
  <c r="F19" i="7"/>
  <c r="G19" i="7"/>
  <c r="C19" i="7"/>
  <c r="D50" i="11"/>
  <c r="D51" i="11"/>
  <c r="D52" i="11"/>
  <c r="C84" i="8"/>
  <c r="C60" i="8"/>
  <c r="C58" i="8"/>
  <c r="C56" i="8"/>
  <c r="G50" i="8"/>
  <c r="H50" i="8" s="1"/>
  <c r="F50" i="8"/>
  <c r="E50" i="8"/>
  <c r="D50" i="8"/>
  <c r="C50" i="8"/>
  <c r="D48" i="8"/>
  <c r="E48" i="8"/>
  <c r="C48" i="8"/>
  <c r="C43" i="8"/>
  <c r="C41" i="8"/>
  <c r="C39" i="8"/>
  <c r="G33" i="8"/>
  <c r="H33" i="8" s="1"/>
  <c r="F33" i="8"/>
  <c r="E33" i="8"/>
  <c r="D33" i="8"/>
  <c r="C33" i="8"/>
  <c r="H32" i="8"/>
  <c r="E31" i="8"/>
  <c r="D31" i="8"/>
  <c r="C31" i="8"/>
  <c r="E14" i="8"/>
  <c r="D14" i="8"/>
  <c r="C14" i="8"/>
  <c r="C26" i="8"/>
  <c r="C24" i="8"/>
  <c r="C22" i="8"/>
  <c r="G16" i="8"/>
  <c r="H16" i="8" s="1"/>
  <c r="F16" i="8"/>
  <c r="E16" i="8"/>
  <c r="E17" i="8" s="1"/>
  <c r="D16" i="8"/>
  <c r="D17" i="8" s="1"/>
  <c r="C16" i="8"/>
  <c r="C17" i="8" s="1"/>
  <c r="H15" i="8"/>
  <c r="E15" i="8"/>
  <c r="D15" i="8"/>
  <c r="C15" i="8"/>
  <c r="F14" i="8"/>
  <c r="C9" i="8"/>
  <c r="C8" i="8"/>
  <c r="D22" i="7"/>
  <c r="E22" i="7"/>
  <c r="F22" i="7"/>
  <c r="G22" i="7"/>
  <c r="C22" i="7"/>
  <c r="D21" i="7"/>
  <c r="E21" i="7"/>
  <c r="F21" i="7"/>
  <c r="G21" i="7"/>
  <c r="C21" i="7"/>
  <c r="G18" i="7"/>
  <c r="D18" i="7"/>
  <c r="E18" i="7"/>
  <c r="F18" i="7"/>
  <c r="C18" i="7"/>
  <c r="G20" i="7"/>
  <c r="G14" i="7"/>
  <c r="G13" i="7"/>
  <c r="G12" i="7"/>
  <c r="G11" i="7"/>
  <c r="G10" i="7"/>
  <c r="G9" i="7"/>
  <c r="G16" i="7" s="1"/>
  <c r="G7" i="7"/>
  <c r="G6" i="7"/>
  <c r="G8" i="7" s="1"/>
  <c r="E12" i="7"/>
  <c r="E11" i="7"/>
  <c r="D11" i="7"/>
  <c r="C11" i="7"/>
  <c r="E15" i="7"/>
  <c r="E17" i="7" s="1"/>
  <c r="F11" i="7"/>
  <c r="F15" i="7"/>
  <c r="G15" i="7"/>
  <c r="G17" i="7" s="1"/>
  <c r="F16" i="7"/>
  <c r="E16" i="7"/>
  <c r="F17" i="7"/>
  <c r="F8" i="7"/>
  <c r="E8" i="7"/>
  <c r="D16" i="7"/>
  <c r="D15" i="7"/>
  <c r="D17" i="7" s="1"/>
  <c r="D8" i="7"/>
  <c r="C16" i="7"/>
  <c r="C15" i="7"/>
  <c r="C17" i="7" s="1"/>
  <c r="C8" i="7"/>
  <c r="C71" i="11"/>
  <c r="J6" i="5"/>
  <c r="K6" i="5"/>
  <c r="I6" i="5"/>
  <c r="D22" i="11"/>
  <c r="E22" i="11"/>
  <c r="D23" i="11"/>
  <c r="E23" i="11"/>
  <c r="D24" i="11"/>
  <c r="E24" i="11"/>
  <c r="C23" i="11"/>
  <c r="C24" i="11"/>
  <c r="C22" i="11"/>
  <c r="J17" i="5"/>
  <c r="K17" i="5"/>
  <c r="I17" i="5"/>
  <c r="C18" i="11"/>
  <c r="C38" i="11" s="1"/>
  <c r="C19" i="11"/>
  <c r="C39" i="11" s="1"/>
  <c r="C17" i="11"/>
  <c r="C37" i="11" s="1"/>
  <c r="C9" i="11"/>
  <c r="C8" i="11"/>
  <c r="C7" i="11"/>
  <c r="J8" i="5"/>
  <c r="K8" i="5"/>
  <c r="I8" i="5"/>
  <c r="I18" i="5"/>
  <c r="J18" i="5"/>
  <c r="K18" i="5"/>
  <c r="J15" i="5"/>
  <c r="K15" i="5"/>
  <c r="I15" i="5"/>
  <c r="J11" i="4"/>
  <c r="K11" i="4"/>
  <c r="I11" i="4"/>
  <c r="J24" i="3"/>
  <c r="K24" i="3"/>
  <c r="I24" i="3"/>
  <c r="J22" i="3"/>
  <c r="K22" i="3"/>
  <c r="I22" i="3"/>
  <c r="J18" i="3"/>
  <c r="K18" i="3"/>
  <c r="I18" i="3"/>
  <c r="J8" i="3"/>
  <c r="K8" i="3"/>
  <c r="I8" i="3"/>
  <c r="I6" i="3"/>
  <c r="D18" i="5"/>
  <c r="E18" i="5"/>
  <c r="F18" i="5"/>
  <c r="G18" i="5"/>
  <c r="H18" i="5"/>
  <c r="C18" i="5"/>
  <c r="C60" i="10"/>
  <c r="I19" i="4" s="1"/>
  <c r="J19" i="4" s="1"/>
  <c r="K19" i="4" s="1"/>
  <c r="D60" i="10"/>
  <c r="E60" i="10"/>
  <c r="C61" i="10"/>
  <c r="D61" i="10"/>
  <c r="E61" i="10"/>
  <c r="D59" i="10"/>
  <c r="E59" i="10"/>
  <c r="C59" i="10"/>
  <c r="E56" i="10"/>
  <c r="K18" i="4" s="1"/>
  <c r="D56" i="10"/>
  <c r="J18" i="4" s="1"/>
  <c r="C54" i="10"/>
  <c r="I17" i="4" s="1"/>
  <c r="D54" i="10"/>
  <c r="J17" i="4" s="1"/>
  <c r="E54" i="10"/>
  <c r="K17" i="4" s="1"/>
  <c r="C56" i="10"/>
  <c r="I18" i="4" s="1"/>
  <c r="D50" i="10"/>
  <c r="J10" i="4" s="1"/>
  <c r="E50" i="10"/>
  <c r="K10" i="4" s="1"/>
  <c r="C50" i="10"/>
  <c r="I10" i="4" s="1"/>
  <c r="D48" i="10"/>
  <c r="J6" i="4" s="1"/>
  <c r="E48" i="10"/>
  <c r="K6" i="4" s="1"/>
  <c r="C48" i="10"/>
  <c r="I6" i="4" s="1"/>
  <c r="C8" i="10"/>
  <c r="C7" i="10"/>
  <c r="D22" i="4"/>
  <c r="E22" i="4"/>
  <c r="F22" i="4"/>
  <c r="G22" i="4"/>
  <c r="H22" i="4"/>
  <c r="C22" i="4"/>
  <c r="D12" i="4"/>
  <c r="E12" i="4"/>
  <c r="F12" i="4"/>
  <c r="G12" i="4"/>
  <c r="H12" i="4"/>
  <c r="C12" i="4"/>
  <c r="D25" i="3"/>
  <c r="E25" i="3"/>
  <c r="F25" i="3"/>
  <c r="G25" i="3"/>
  <c r="H25" i="3"/>
  <c r="C25" i="3"/>
  <c r="D19" i="5"/>
  <c r="E19" i="5"/>
  <c r="F19" i="5"/>
  <c r="G19" i="5"/>
  <c r="H19" i="5"/>
  <c r="C19" i="5"/>
  <c r="D16" i="5"/>
  <c r="E16" i="5"/>
  <c r="F16" i="5"/>
  <c r="G16" i="5"/>
  <c r="H16" i="5"/>
  <c r="C16" i="5"/>
  <c r="D10" i="5"/>
  <c r="E10" i="5"/>
  <c r="F10" i="5"/>
  <c r="G10" i="5"/>
  <c r="H10" i="5"/>
  <c r="C10" i="5"/>
  <c r="D20" i="4"/>
  <c r="E20" i="4"/>
  <c r="F20" i="4"/>
  <c r="G20" i="4"/>
  <c r="H20" i="4"/>
  <c r="C20" i="4"/>
  <c r="E16" i="4"/>
  <c r="F16" i="4"/>
  <c r="G16" i="4"/>
  <c r="H16" i="4"/>
  <c r="D16" i="4"/>
  <c r="D27" i="4"/>
  <c r="E27" i="4"/>
  <c r="F27" i="4"/>
  <c r="G27" i="4"/>
  <c r="H27" i="4"/>
  <c r="C27" i="4"/>
  <c r="D8" i="4"/>
  <c r="E8" i="4"/>
  <c r="F8" i="4"/>
  <c r="G8" i="4"/>
  <c r="H8" i="4"/>
  <c r="C8" i="4"/>
  <c r="E7" i="3"/>
  <c r="F7" i="3"/>
  <c r="G7" i="3"/>
  <c r="H7" i="3"/>
  <c r="D7" i="3"/>
  <c r="D15" i="3"/>
  <c r="D16" i="3" s="1"/>
  <c r="E15" i="3"/>
  <c r="E16" i="3" s="1"/>
  <c r="F15" i="3"/>
  <c r="F16" i="3" s="1"/>
  <c r="G15" i="3"/>
  <c r="G16" i="3" s="1"/>
  <c r="H15" i="3"/>
  <c r="H16" i="3" s="1"/>
  <c r="C15" i="3"/>
  <c r="C16" i="3" s="1"/>
  <c r="D9" i="3"/>
  <c r="E9" i="3"/>
  <c r="F9" i="3"/>
  <c r="G9" i="3"/>
  <c r="H9" i="3"/>
  <c r="C9" i="3"/>
  <c r="C85" i="8" l="1"/>
  <c r="C86" i="8" s="1"/>
  <c r="D51" i="8"/>
  <c r="D49" i="8"/>
  <c r="E51" i="8"/>
  <c r="E49" i="8"/>
  <c r="F48" i="8"/>
  <c r="C51" i="8"/>
  <c r="C49" i="8"/>
  <c r="E34" i="8"/>
  <c r="E32" i="8"/>
  <c r="F31" i="8"/>
  <c r="D34" i="8"/>
  <c r="D32" i="8"/>
  <c r="C34" i="8"/>
  <c r="C32" i="8"/>
  <c r="F17" i="8"/>
  <c r="F15" i="8"/>
  <c r="G14" i="8"/>
  <c r="C28" i="11"/>
  <c r="D18" i="11"/>
  <c r="D38" i="11" s="1"/>
  <c r="C29" i="11"/>
  <c r="D19" i="11"/>
  <c r="D39" i="11" s="1"/>
  <c r="C27" i="11"/>
  <c r="D17" i="11"/>
  <c r="D37" i="11" s="1"/>
  <c r="C10" i="11"/>
  <c r="C56" i="11"/>
  <c r="J6" i="3"/>
  <c r="I12" i="3"/>
  <c r="C9" i="10"/>
  <c r="D25" i="4"/>
  <c r="E25" i="4"/>
  <c r="F25" i="4"/>
  <c r="G25" i="4"/>
  <c r="H25" i="4"/>
  <c r="C25" i="4"/>
  <c r="I9" i="3"/>
  <c r="I7" i="3"/>
  <c r="I15" i="3"/>
  <c r="F19" i="3"/>
  <c r="F20" i="3" s="1"/>
  <c r="G19" i="3"/>
  <c r="G20" i="3" s="1"/>
  <c r="H19" i="3"/>
  <c r="H20" i="3" s="1"/>
  <c r="G48" i="8" l="1"/>
  <c r="F49" i="8"/>
  <c r="F51" i="8"/>
  <c r="G31" i="8"/>
  <c r="F32" i="8"/>
  <c r="F34" i="8"/>
  <c r="H14" i="8"/>
  <c r="H17" i="8" s="1"/>
  <c r="C20" i="8" s="1"/>
  <c r="G15" i="8"/>
  <c r="G17" i="8"/>
  <c r="C19" i="8" s="1"/>
  <c r="C87" i="8" s="1"/>
  <c r="C88" i="8" s="1"/>
  <c r="C89" i="8" s="1"/>
  <c r="C46" i="11"/>
  <c r="C33" i="11"/>
  <c r="C57" i="11"/>
  <c r="C47" i="11"/>
  <c r="C34" i="11"/>
  <c r="C55" i="11"/>
  <c r="C45" i="11"/>
  <c r="C32" i="11"/>
  <c r="E18" i="11"/>
  <c r="E38" i="11" s="1"/>
  <c r="D28" i="11"/>
  <c r="D29" i="11"/>
  <c r="E19" i="11"/>
  <c r="E39" i="11" s="1"/>
  <c r="E17" i="11"/>
  <c r="E37" i="11" s="1"/>
  <c r="D27" i="11"/>
  <c r="C52" i="11"/>
  <c r="C50" i="11"/>
  <c r="C51" i="11"/>
  <c r="J12" i="3"/>
  <c r="K6" i="3"/>
  <c r="K12" i="3" s="1"/>
  <c r="I16" i="5"/>
  <c r="I15" i="4"/>
  <c r="I20" i="4" s="1"/>
  <c r="I7" i="5"/>
  <c r="J7" i="3"/>
  <c r="J9" i="3"/>
  <c r="J15" i="3"/>
  <c r="I16" i="3"/>
  <c r="I19" i="3"/>
  <c r="E19" i="3"/>
  <c r="D19" i="3"/>
  <c r="D20" i="3" s="1"/>
  <c r="C19" i="3"/>
  <c r="C20" i="3" s="1"/>
  <c r="F23" i="3"/>
  <c r="G23" i="3"/>
  <c r="G26" i="3" s="1"/>
  <c r="H23" i="3"/>
  <c r="H48" i="8" l="1"/>
  <c r="H51" i="8" s="1"/>
  <c r="C54" i="8" s="1"/>
  <c r="G49" i="8"/>
  <c r="G51" i="8"/>
  <c r="C53" i="8" s="1"/>
  <c r="H31" i="8"/>
  <c r="H34" i="8" s="1"/>
  <c r="C37" i="8" s="1"/>
  <c r="G32" i="8"/>
  <c r="G34" i="8"/>
  <c r="C36" i="8" s="1"/>
  <c r="C21" i="8"/>
  <c r="C23" i="8" s="1"/>
  <c r="C25" i="8" s="1"/>
  <c r="A74" i="8" s="1"/>
  <c r="D56" i="11"/>
  <c r="D33" i="11"/>
  <c r="D65" i="11" s="1"/>
  <c r="D66" i="11" s="1"/>
  <c r="D46" i="11"/>
  <c r="D57" i="11"/>
  <c r="D34" i="11"/>
  <c r="E65" i="11" s="1"/>
  <c r="E66" i="11" s="1"/>
  <c r="D47" i="11"/>
  <c r="D55" i="11"/>
  <c r="D32" i="11"/>
  <c r="C65" i="11" s="1"/>
  <c r="D45" i="11"/>
  <c r="E28" i="11"/>
  <c r="E33" i="11" s="1"/>
  <c r="E29" i="11"/>
  <c r="E34" i="11" s="1"/>
  <c r="E27" i="11"/>
  <c r="E32" i="11" s="1"/>
  <c r="I16" i="4"/>
  <c r="J15" i="4"/>
  <c r="J16" i="5"/>
  <c r="J7" i="5"/>
  <c r="K7" i="3"/>
  <c r="K9" i="3"/>
  <c r="K15" i="3"/>
  <c r="J19" i="3"/>
  <c r="J16" i="3"/>
  <c r="I20" i="3"/>
  <c r="I23" i="3"/>
  <c r="I25" i="3" s="1"/>
  <c r="G27" i="3"/>
  <c r="E20" i="3"/>
  <c r="E23" i="3"/>
  <c r="E26" i="3" s="1"/>
  <c r="D23" i="3"/>
  <c r="D26" i="3" s="1"/>
  <c r="C23" i="3"/>
  <c r="C26" i="3" s="1"/>
  <c r="F26" i="3"/>
  <c r="H26" i="3"/>
  <c r="C55" i="8" l="1"/>
  <c r="C57" i="8" s="1"/>
  <c r="C59" i="8" s="1"/>
  <c r="C38" i="8"/>
  <c r="C40" i="8" s="1"/>
  <c r="C42" i="8" s="1"/>
  <c r="C27" i="8"/>
  <c r="C66" i="8"/>
  <c r="C70" i="11"/>
  <c r="C66" i="11"/>
  <c r="J16" i="4"/>
  <c r="J20" i="4"/>
  <c r="K15" i="4"/>
  <c r="K16" i="5"/>
  <c r="K7" i="5"/>
  <c r="K16" i="3"/>
  <c r="K19" i="3"/>
  <c r="J20" i="3"/>
  <c r="J23" i="3"/>
  <c r="J25" i="3" s="1"/>
  <c r="E27" i="3"/>
  <c r="D27" i="3"/>
  <c r="C27" i="3"/>
  <c r="F27" i="3"/>
  <c r="H27" i="3"/>
  <c r="C61" i="8" l="1"/>
  <c r="C67" i="8"/>
  <c r="C44" i="8"/>
  <c r="C65" i="8"/>
  <c r="K20" i="4"/>
  <c r="K16" i="4"/>
  <c r="I26" i="3"/>
  <c r="K20" i="3"/>
  <c r="K23" i="3"/>
  <c r="K25" i="3" s="1"/>
  <c r="C68" i="8" l="1"/>
  <c r="C69" i="8" s="1"/>
  <c r="I27" i="3"/>
  <c r="I28" i="3"/>
  <c r="I7" i="4"/>
  <c r="I8" i="4" s="1"/>
  <c r="I12" i="5"/>
  <c r="I10" i="5"/>
  <c r="I11" i="5"/>
  <c r="J26" i="3"/>
  <c r="J27" i="3" l="1"/>
  <c r="J28" i="3"/>
  <c r="J7" i="4"/>
  <c r="I19" i="5"/>
  <c r="I26" i="4"/>
  <c r="I12" i="4"/>
  <c r="I22" i="4" s="1"/>
  <c r="I25" i="4"/>
  <c r="J12" i="5"/>
  <c r="J11" i="5"/>
  <c r="J19" i="5" s="1"/>
  <c r="J10" i="5"/>
  <c r="K26" i="3"/>
  <c r="K28" i="3" s="1"/>
  <c r="J8" i="4" l="1"/>
  <c r="K7" i="4"/>
  <c r="K8" i="4" s="1"/>
  <c r="K27" i="3"/>
  <c r="I27" i="4"/>
  <c r="J26" i="4"/>
  <c r="K10" i="5"/>
  <c r="K12" i="5"/>
  <c r="K11" i="5"/>
  <c r="K19" i="5" s="1"/>
  <c r="J25" i="4" l="1"/>
  <c r="J12" i="4"/>
  <c r="J22" i="4" s="1"/>
  <c r="K12" i="4"/>
  <c r="K22" i="4" s="1"/>
  <c r="K25" i="4"/>
  <c r="K26" i="4"/>
  <c r="K27" i="4" s="1"/>
  <c r="J2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akbar</author>
  </authors>
  <commentList>
    <comment ref="D6" authorId="0" shapeId="0" xr:uid="{5A04BA7E-DFA0-4B04-B86C-25140DDA5BA5}">
      <text>
        <r>
          <rPr>
            <b/>
            <sz val="9"/>
            <color indexed="81"/>
            <rFont val="Tahoma"/>
            <family val="2"/>
          </rPr>
          <t>akbar:</t>
        </r>
        <r>
          <rPr>
            <sz val="9"/>
            <color indexed="81"/>
            <rFont val="Tahoma"/>
            <family val="2"/>
          </rPr>
          <t xml:space="preserve">
FY22 revenue growth of 88.7% reflects Spoton acquisition - not organic growth</t>
        </r>
      </text>
    </comment>
    <comment ref="I7" authorId="0" shapeId="0" xr:uid="{F080913D-B196-485F-ADE7-0C322EBF6D5C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Q1 FY27 actual YoY growth: 28%
Management guidance: no major changes
Market growth: 12-15% CAGR</t>
        </r>
      </text>
    </comment>
    <comment ref="A12" authorId="0" shapeId="0" xr:uid="{BBC62900-86E8-4ABA-AE11-C4860CEE1114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Total Operating Expenses pulled directly from Screener - includes all operating costs excluding depreciation and finance costs. Projection as % of revenue from Assumptions tab.</t>
        </r>
      </text>
    </comment>
    <comment ref="H26" authorId="0" shapeId="0" xr:uid="{C76F50E3-4614-40F5-97D2-F1E0374F76CB}">
      <text>
        <r>
          <rPr>
            <b/>
            <sz val="9"/>
            <color indexed="81"/>
            <rFont val="Tahoma"/>
            <family val="2"/>
          </rPr>
          <t>akbar:</t>
        </r>
        <r>
          <rPr>
            <sz val="9"/>
            <color indexed="81"/>
            <rFont val="Tahoma"/>
            <family val="2"/>
          </rPr>
          <t xml:space="preserve">
FY26 PAT includes exceptional items</t>
        </r>
      </text>
    </comment>
    <comment ref="I28" authorId="0" shapeId="0" xr:uid="{2D51A392-FDF1-489C-A8FE-8163412CA1FD}">
      <text>
        <r>
          <rPr>
            <b/>
            <sz val="9"/>
            <color indexed="81"/>
            <rFont val="Tahoma"/>
            <family val="2"/>
          </rPr>
          <t>akbar:</t>
        </r>
        <r>
          <rPr>
            <sz val="9"/>
            <color indexed="81"/>
            <rFont val="Tahoma"/>
            <family val="2"/>
          </rPr>
          <t xml:space="preserve">
EPS assumes implied shares outstanding from FY26. Adjust if Delhivery announces equity issuance or buyback.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akbar</author>
  </authors>
  <commentList>
    <comment ref="D12" authorId="0" shapeId="0" xr:uid="{DF591D29-5223-4D03-AE3E-7EA923A58836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Large jump in FY22 equity reflects IPO proceeds of ~₹2,800 Cr from fresh issue of shares - Delhivery listed May 2022.</t>
        </r>
      </text>
    </comment>
    <comment ref="H16" authorId="0" shapeId="0" xr:uid="{7BE17F8E-AA67-4440-9D40-33ED4907AB39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39.75% jump in Fixed Assets reflects Ecome Express acquisitions - 7 facilities retained for long-term use. Drives higher depreciation in FY27E onwards.</t>
        </r>
      </text>
    </comment>
    <comment ref="I16" authorId="0" shapeId="0" xr:uid="{E54E7A82-F93A-405C-9205-5D2D59A8A242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Fixed Assets declining FY27E onwards: Depreciation (₹750 Cr) &gt; Capex (₹525 Cr). Network fuly built - maintenance capex only. Asset-light model increasingly evident.</t>
        </r>
      </text>
    </comment>
    <comment ref="I22" authorId="0" shapeId="0" xr:uid="{F7769BA5-821D-47EA-AA17-5FFAD7E6CA60}">
      <text>
        <r>
          <rPr>
            <b/>
            <sz val="9"/>
            <color indexed="81"/>
            <rFont val="Tahoma"/>
            <family val="2"/>
          </rPr>
          <t>akbar:</t>
        </r>
        <r>
          <rPr>
            <sz val="9"/>
            <color indexed="81"/>
            <rFont val="Tahoma"/>
            <family val="2"/>
          </rPr>
          <t xml:space="preserve">
*₹185 Cr difference reflects simplified projection assumptions — working capital 
changes, deferred tax movements, and 
other items not modelled individually.
Immaterial for valuation purposes.</t>
        </r>
      </text>
    </comment>
    <comment ref="K25" authorId="0" shapeId="0" xr:uid="{D19657F8-AA67-4CE8-BEDD-4E260C0D8870}">
      <text>
        <r>
          <rPr>
            <b/>
            <sz val="9"/>
            <color indexed="81"/>
            <rFont val="Tahoma"/>
            <charset val="1"/>
          </rPr>
          <t xml:space="preserve">akbar:
</t>
        </r>
        <r>
          <rPr>
            <sz val="9"/>
            <color indexed="81"/>
            <rFont val="Tahoma"/>
            <charset val="1"/>
          </rPr>
          <t>Debt/Equity declining toward zero. Very low leverage - no refinancing risk.</t>
        </r>
      </text>
    </comment>
    <comment ref="H26" authorId="0" shapeId="0" xr:uid="{D55A1979-5FE2-4E90-9E3C-CE1EFC00C4A7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Case declined FY24-FY26. Investments liquidated to fund Ecom Express acquisition.</t>
        </r>
      </text>
    </comment>
    <comment ref="K27" authorId="0" shapeId="0" xr:uid="{540C3C2B-C4BE-45DA-BDED-E4DE6CB431E1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Net Debt turns negative by FY28E. Significant balance sheet de-risking.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akbar</author>
  </authors>
  <commentList>
    <comment ref="A6" authorId="0" shapeId="0" xr:uid="{832C8F4E-1165-465E-A88C-7D7B0D0E780B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Projected CFO formula:
CFO = EBITDA - Cash Tax - Finance Costs + WC Change (Revenue x 0.25%)</t>
        </r>
      </text>
    </comment>
    <comment ref="H6" authorId="0" shapeId="0" xr:uid="{01654ADE-CC9C-49B5-97FA-78A72B72F31F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FY26 CFO of ₹911 Cr vs EBITDA of ₹640 Cr. Ratio of 142% reflects significant working capital improvement post-Ecom Express integration (receivable days reduction). This level of CFO/EBITDA unlikely to persist — normalised ratio of 85-90% used in projections.</t>
        </r>
      </text>
    </comment>
    <comment ref="A7" authorId="0" shapeId="0" xr:uid="{4A742F8D-4E67-4347-B1AE-1CF1A781F8F8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Projected CFI = -Capex only. No acquisitions assumed in projected period. Investments assumed stable.</t>
        </r>
      </text>
    </comment>
    <comment ref="D7" authorId="0" shapeId="0" xr:uid="{2CFEDA86-056A-4A42-87F6-9F0BDC0BD054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Spoton acquisition + IPO proceeds depoyed into investments.</t>
        </r>
      </text>
    </comment>
    <comment ref="E7" authorId="0" shapeId="0" xr:uid="{235B3B13-BC55-47E7-99C7-3F934EE55318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Heavy investment purchases + network expansion capex.</t>
        </r>
      </text>
    </comment>
    <comment ref="A8" authorId="0" shapeId="0" xr:uid="{F7E2F4A4-8D90-46E8-9F6F-B49DE84B7265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Projected CFF = -Revenue x 4.8%. Based on FY24-FY26 average CFF/Revenue ratio. Captures finance cost payments and lease liability payments. Excludes equity raises ( no new issuance assumed).</t>
        </r>
      </text>
    </comment>
    <comment ref="I8" authorId="0" shapeId="0" xr:uid="{8E0C0B34-8A3C-40CF-919D-24097FBF9B3B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4.8% of revenue which is the average of the CFF as a % of revenue from FY24 to FY26 since after IPO</t>
        </r>
      </text>
    </comment>
    <comment ref="I12" authorId="0" shapeId="0" xr:uid="{7F525483-829C-44FB-BF11-B6CC49AC27C6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High CFO/EBIT ratio reflects large non-cash depreciation charge 
(₹750 Cr FY27E) — adds back to CFO but reduces EBIT. Normal for asset-heavy logistics business with significant fixed infrastructure.</t>
        </r>
      </text>
    </comment>
    <comment ref="I19" authorId="0" shapeId="0" xr:uid="{B3BBA196-0BD2-4D72-B9CE-F85594FC51B3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FCF Margin FY27E dip reflects conservative CFO conversion vs FY26's exceptional ratio. Long-term target: 8-10% as capex intensity approaches 2-3% of revenue.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akbar</author>
  </authors>
  <commentList>
    <comment ref="C20" authorId="0" shapeId="0" xr:uid="{BFC675CF-4CCB-4454-813D-2D4541B722F3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Terminal Value represents 72% of total EV in base case - typical for high-growth companies. Sensitivity to terminal assumptions is high.</t>
        </r>
      </text>
    </comment>
    <comment ref="C89" authorId="0" shapeId="0" xr:uid="{61FAB439-F487-496D-953F-327149998EB7}">
      <text>
        <r>
          <rPr>
            <b/>
            <sz val="9"/>
            <color indexed="81"/>
            <rFont val="Tahoma"/>
            <charset val="1"/>
          </rPr>
          <t>akbar:</t>
        </r>
        <r>
          <rPr>
            <sz val="9"/>
            <color indexed="81"/>
            <rFont val="Tahoma"/>
            <charset val="1"/>
          </rPr>
          <t xml:space="preserve">
10.36% implied TGR ~ Incia nominal GDP growth (real GDP 6.5-7% + inflation 4-5%)</t>
        </r>
      </text>
    </comment>
  </commentList>
</comments>
</file>

<file path=xl/sharedStrings.xml><?xml version="1.0" encoding="utf-8"?>
<sst xmlns="http://schemas.openxmlformats.org/spreadsheetml/2006/main" count="521" uniqueCount="216">
  <si>
    <t>DELHIVERY LIMITED</t>
  </si>
  <si>
    <t>Equity Research - Financial Model</t>
  </si>
  <si>
    <t>NSE: DELHIVERY</t>
  </si>
  <si>
    <t>Analyst</t>
  </si>
  <si>
    <t>Adarsh Baranwal</t>
  </si>
  <si>
    <t>Date</t>
  </si>
  <si>
    <t>Recommendation</t>
  </si>
  <si>
    <t>HOLD (Preliminary)</t>
  </si>
  <si>
    <t>Current Price</t>
  </si>
  <si>
    <t>Price Target (Base Case)</t>
  </si>
  <si>
    <t>TBD - Week 2</t>
  </si>
  <si>
    <t>Upside / Downside</t>
  </si>
  <si>
    <t>Revenue from Operations</t>
  </si>
  <si>
    <t>Other Income</t>
  </si>
  <si>
    <t>Total Income</t>
  </si>
  <si>
    <t>EBITDA</t>
  </si>
  <si>
    <t>EBITDA Margin %</t>
  </si>
  <si>
    <t>EBIT</t>
  </si>
  <si>
    <t>EBIT Margin %</t>
  </si>
  <si>
    <t>PBT</t>
  </si>
  <si>
    <t>Tax</t>
  </si>
  <si>
    <t>PAT</t>
  </si>
  <si>
    <t>PAT Margin %</t>
  </si>
  <si>
    <t>FY21</t>
  </si>
  <si>
    <t>FY22</t>
  </si>
  <si>
    <t>FY23</t>
  </si>
  <si>
    <t>FY24</t>
  </si>
  <si>
    <t>FY25</t>
  </si>
  <si>
    <t>FY26</t>
  </si>
  <si>
    <t>FY27E</t>
  </si>
  <si>
    <t>FY28E</t>
  </si>
  <si>
    <t>FY29E</t>
  </si>
  <si>
    <t>EPS</t>
  </si>
  <si>
    <t>Total Operating Expenses</t>
  </si>
  <si>
    <t>Unit</t>
  </si>
  <si>
    <t>%</t>
  </si>
  <si>
    <t>Revenue Growth</t>
  </si>
  <si>
    <t>LIABILITIES</t>
  </si>
  <si>
    <t>Units</t>
  </si>
  <si>
    <t>Equity Capital</t>
  </si>
  <si>
    <t>Reserves and Surplus</t>
  </si>
  <si>
    <t>Total Equity</t>
  </si>
  <si>
    <t>Borrowings</t>
  </si>
  <si>
    <t>Other Liabilities</t>
  </si>
  <si>
    <t>Total Liabilities</t>
  </si>
  <si>
    <t>ASSETS</t>
  </si>
  <si>
    <t>Fixed Assets (Net Block)</t>
  </si>
  <si>
    <t>CWIP</t>
  </si>
  <si>
    <t>Investments</t>
  </si>
  <si>
    <t>Other Assets</t>
  </si>
  <si>
    <t>Total Assets</t>
  </si>
  <si>
    <t>Balance Check</t>
  </si>
  <si>
    <t>KEY RATIOS</t>
  </si>
  <si>
    <t>Debt / Equity</t>
  </si>
  <si>
    <t>Net Debt</t>
  </si>
  <si>
    <t>Cash</t>
  </si>
  <si>
    <t>INCOME</t>
  </si>
  <si>
    <t>EXPENSES</t>
  </si>
  <si>
    <t>PROFITABILITY</t>
  </si>
  <si>
    <r>
      <rPr>
        <i/>
        <sz val="11"/>
        <color theme="1"/>
        <rFont val="Calibri"/>
        <family val="2"/>
        <scheme val="minor"/>
      </rPr>
      <t>Less:</t>
    </r>
    <r>
      <rPr>
        <sz val="11"/>
        <color theme="1"/>
        <rFont val="Calibri"/>
        <family val="2"/>
        <scheme val="minor"/>
      </rPr>
      <t xml:space="preserve"> Finance Costs</t>
    </r>
  </si>
  <si>
    <r>
      <rPr>
        <i/>
        <sz val="11"/>
        <color theme="1"/>
        <rFont val="Calibri"/>
        <family val="2"/>
        <scheme val="minor"/>
      </rPr>
      <t>Less:</t>
    </r>
    <r>
      <rPr>
        <sz val="11"/>
        <color theme="1"/>
        <rFont val="Calibri"/>
        <family val="2"/>
        <scheme val="minor"/>
      </rPr>
      <t xml:space="preserve"> Depreciation and Amortisation</t>
    </r>
  </si>
  <si>
    <t>Fixed Assets Growth</t>
  </si>
  <si>
    <t>x</t>
  </si>
  <si>
    <t>CASH FLOWS</t>
  </si>
  <si>
    <t>Cash from Operating Activity (CFO)</t>
  </si>
  <si>
    <t>Cash from Investing Activity (CFI)</t>
  </si>
  <si>
    <t>Cash from Financing Activity (CFF)</t>
  </si>
  <si>
    <t>Net Cash Flow</t>
  </si>
  <si>
    <t>Free Cash Flow</t>
  </si>
  <si>
    <t>KEY OBSERVATIONS</t>
  </si>
  <si>
    <t>Capex</t>
  </si>
  <si>
    <t>Capex as % of Revenue</t>
  </si>
  <si>
    <t>FCF Margin %</t>
  </si>
  <si>
    <t>CFO/Operating Profit %</t>
  </si>
  <si>
    <t>Bear Case</t>
  </si>
  <si>
    <t>Base Case</t>
  </si>
  <si>
    <t>Bull Case</t>
  </si>
  <si>
    <t>DELHIVERY - SCENARIO ANALYSIS</t>
  </si>
  <si>
    <t>VALUATION</t>
  </si>
  <si>
    <t>MARKET DATA</t>
  </si>
  <si>
    <t>Current Market Price</t>
  </si>
  <si>
    <t>Tax Rate %</t>
  </si>
  <si>
    <t>PROJECTIONS</t>
  </si>
  <si>
    <t>Bear</t>
  </si>
  <si>
    <t>Base</t>
  </si>
  <si>
    <t>Bull</t>
  </si>
  <si>
    <t>PRICE TARGET</t>
  </si>
  <si>
    <t>Target P/E (FY28E)</t>
  </si>
  <si>
    <t>Price Target</t>
  </si>
  <si>
    <t>Scenario Weights</t>
  </si>
  <si>
    <t>Weighted Price Targets</t>
  </si>
  <si>
    <t>Weight Upside</t>
  </si>
  <si>
    <t>RECOMMENDATION</t>
  </si>
  <si>
    <t>DELHIVERY ASSUMPTIONS</t>
  </si>
  <si>
    <t>Share Price (04-09-2026)</t>
  </si>
  <si>
    <t>Shares Outstanding</t>
  </si>
  <si>
    <t xml:space="preserve">Shares Outstanding </t>
  </si>
  <si>
    <t>Market Cap</t>
  </si>
  <si>
    <t>Mn</t>
  </si>
  <si>
    <t>INCOME STATEMENT ASSUMPTIONS</t>
  </si>
  <si>
    <t>Revenue Growth %</t>
  </si>
  <si>
    <t>₹</t>
  </si>
  <si>
    <t>₹ Cr</t>
  </si>
  <si>
    <t>Operating Expenses as % of Revenue</t>
  </si>
  <si>
    <t>Depreciation</t>
  </si>
  <si>
    <t>Finance Costs</t>
  </si>
  <si>
    <t>BALANCE SHEET ASSUMPTIONS</t>
  </si>
  <si>
    <t>Other Liabilities Growth %</t>
  </si>
  <si>
    <t>Other Assets Growth %</t>
  </si>
  <si>
    <t>CASH FLOW ASSUMPTIONS</t>
  </si>
  <si>
    <t>CFF as % of Revenue</t>
  </si>
  <si>
    <t>Working Capital Changes</t>
  </si>
  <si>
    <t>WC Change as % of Revenue</t>
  </si>
  <si>
    <t>Enterprise Value</t>
  </si>
  <si>
    <t>Revenue</t>
  </si>
  <si>
    <t>FCF</t>
  </si>
  <si>
    <t>Forward P/E</t>
  </si>
  <si>
    <t>EV/EBITDA</t>
  </si>
  <si>
    <t>Price/FCF</t>
  </si>
  <si>
    <t>Upside/Downside</t>
  </si>
  <si>
    <t>BUY</t>
  </si>
  <si>
    <t>DELHIVERY - COMPETITIVE LANDSCAPE ANALYSIS</t>
  </si>
  <si>
    <t>Revenue Growth % (FY26 vs FY25)</t>
  </si>
  <si>
    <t>Total Debt</t>
  </si>
  <si>
    <t>Bluedart</t>
  </si>
  <si>
    <t>Shadowfax</t>
  </si>
  <si>
    <t>Shiprocket</t>
  </si>
  <si>
    <t>TCI Express</t>
  </si>
  <si>
    <t>Delhivery</t>
  </si>
  <si>
    <t>FY26 Revenue</t>
  </si>
  <si>
    <t>FY26 EBITDA</t>
  </si>
  <si>
    <t>FY26 EBITDA Margin %</t>
  </si>
  <si>
    <t>FY26 PAT</t>
  </si>
  <si>
    <t>FY26 EPS</t>
  </si>
  <si>
    <t>Forward P/E FY27E (estimate for peers)</t>
  </si>
  <si>
    <t>FCF Yield % (FCF / Market Cap)</t>
  </si>
  <si>
    <t>FCF Margin % (FCF / Revenue)</t>
  </si>
  <si>
    <t>Trailing P/E FY26</t>
  </si>
  <si>
    <t>NOTES:</t>
  </si>
  <si>
    <t>Shiprocket P/E and EV/EBITDA not meaningful - negative EBITDA/PAT in FY26</t>
  </si>
  <si>
    <t>Delhivery trailing P/E of 224x not meaningul - use forward P/E for valuation</t>
  </si>
  <si>
    <t>Forward P/E for peers estimated using FY26 PAT x (1+Revenue Growth %)</t>
  </si>
  <si>
    <t>Delhivery Forward P/E FY 27E: 66x | FY28E: 39x (from financial model)</t>
  </si>
  <si>
    <t>FCF sourced from Screener.in cash flow statements</t>
  </si>
  <si>
    <t>All data as of FY26 annual results. Market Cap as of September 2026</t>
  </si>
  <si>
    <t>DELHIVERY - DCF VALUATION</t>
  </si>
  <si>
    <t>DCF INPUTS</t>
  </si>
  <si>
    <t>WACC</t>
  </si>
  <si>
    <t>Terminal Growth Rate</t>
  </si>
  <si>
    <t>Net Debt (FY26)</t>
  </si>
  <si>
    <t>BASE CASE DCF</t>
  </si>
  <si>
    <t>FY30E</t>
  </si>
  <si>
    <t>FY31E</t>
  </si>
  <si>
    <t>Terminal</t>
  </si>
  <si>
    <t>Growth Rate</t>
  </si>
  <si>
    <t>Discount Factor</t>
  </si>
  <si>
    <t>PV of FCF</t>
  </si>
  <si>
    <t>Sum of PV of FCFs</t>
  </si>
  <si>
    <t>PV of Terminal Value</t>
  </si>
  <si>
    <t>Less: Net Debt</t>
  </si>
  <si>
    <t>Equity Value</t>
  </si>
  <si>
    <t>Intrinsic Value per Share</t>
  </si>
  <si>
    <t>BEAR CASE DCF</t>
  </si>
  <si>
    <t>BULL CASE DCF</t>
  </si>
  <si>
    <t>SCENARIO SUMMARY</t>
  </si>
  <si>
    <t>Bear Intrinsic Value</t>
  </si>
  <si>
    <t>Base Intrinsic Value</t>
  </si>
  <si>
    <t>Bull Intrinsic Value</t>
  </si>
  <si>
    <t>Weighted Intrinsic Value (25/50/25)</t>
  </si>
  <si>
    <t>Upside/downside from current price</t>
  </si>
  <si>
    <t>SENSITIVITY ANALYSIS - BASE CASE INTRINSIC VALUE (₹)</t>
  </si>
  <si>
    <t>IMPLIED TERMINAL GROWTH RATE</t>
  </si>
  <si>
    <t>Required Equity Value</t>
  </si>
  <si>
    <t>Required EV</t>
  </si>
  <si>
    <t>Required PV of TV</t>
  </si>
  <si>
    <t>Required TV</t>
  </si>
  <si>
    <t>Implied TGR</t>
  </si>
  <si>
    <t>DCF yields intrinsic values of ₹63-270 across scenarios - all below current market price of ₹458. This does not mean the stock is a sell.</t>
  </si>
  <si>
    <t>Implied terminal growth rate at current price: ~10.36% - consistent with India's nominal GDP growth rate (~10-11%). This is the market's implicit assumption about Delhivery's long-term growth in a structurally underpenetrated market.</t>
  </si>
  <si>
    <t>Out price target of ₹523 is derived from forward P/E methodology - more appropriate for companies in profitability inflection phase.</t>
  </si>
  <si>
    <t>DCF serves as downside risk anchor: if long-term growth disappoints significantly, substantial downside exists from current levels.</t>
  </si>
  <si>
    <t>Market is implicityly pricing Delhivery is a permanent beneficiary of India's economic growth</t>
  </si>
  <si>
    <t>Reasonable if ecommerce penetration reaches China/US levels over next 10-15 years</t>
  </si>
  <si>
    <t>Key risk: if ecommerce growth moderates faster than expected, implied TGR becomes unjustifiable</t>
  </si>
  <si>
    <t>*Projection methodology note:</t>
  </si>
  <si>
    <t>All FY27E-FY29E figures are base case only.</t>
  </si>
  <si>
    <t>Bear and Bull scenarios in Scenario Summary tab.</t>
  </si>
  <si>
    <t>Tax rate assumptions in Assumptions tab.</t>
  </si>
  <si>
    <t>DELHIVERY - UNIT ECONOMICS</t>
  </si>
  <si>
    <t>Quarter</t>
  </si>
  <si>
    <t>Express Parcel Shipments (Mn)</t>
  </si>
  <si>
    <t>Revenue/Shipment (Rs.)</t>
  </si>
  <si>
    <t>EBITDA/Shipment (Rs.)</t>
  </si>
  <si>
    <t>Express Parcel Revenue (Rs. Cr)</t>
  </si>
  <si>
    <t>Express Parcel EBITDA (Rs. Cr)</t>
  </si>
  <si>
    <t>Total Revenue (Rs. Cr)</t>
  </si>
  <si>
    <t>Adj EBITDA (Rs. Cr)</t>
  </si>
  <si>
    <t>Q1 FY23</t>
  </si>
  <si>
    <t>Q2 FY23</t>
  </si>
  <si>
    <t>Q3 FY23</t>
  </si>
  <si>
    <t>Q4 FY23</t>
  </si>
  <si>
    <t>Q1 FY24</t>
  </si>
  <si>
    <t>Q2 FY24</t>
  </si>
  <si>
    <t>Q3 FY24</t>
  </si>
  <si>
    <t>Q4 FY24</t>
  </si>
  <si>
    <t>Q1 FY25</t>
  </si>
  <si>
    <t>Q2 FY25</t>
  </si>
  <si>
    <t>Q3 FY25</t>
  </si>
  <si>
    <t>Q4 FY25</t>
  </si>
  <si>
    <t>Q1 FY26</t>
  </si>
  <si>
    <t>Q2 FY26</t>
  </si>
  <si>
    <t>Q3 FY26</t>
  </si>
  <si>
    <t>Q4 FY26</t>
  </si>
  <si>
    <t>Q1 FY27</t>
  </si>
  <si>
    <t>Forward PEG Ratio (P/E / Revenue Growth %)</t>
  </si>
  <si>
    <t>It reflects that Delhivery is a high-growth company whose value lies primarily in long-term cash flow generation beyond our 5-year explicit projection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</si>
</sst>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6" fontId="0" fillId="0" borderId="0" xfId="0" applyNumberFormat="1"/>
    <xf numFmtId="0" fontId="2" fillId="0" borderId="0" xfId="0" applyFont="1"/>
    <xf numFmtId="0" fontId="3" fillId="0" borderId="0" xfId="0" applyFont="1"/>
    <xf numFmtId="10" fontId="0" fillId="0" borderId="0" xfId="0" applyNumberFormat="1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3" fontId="4" fillId="3" borderId="0" xfId="0" applyNumberFormat="1" applyFont="1" applyFill="1"/>
    <xf numFmtId="3" fontId="0" fillId="3" borderId="0" xfId="0" applyNumberFormat="1" applyFill="1"/>
    <xf numFmtId="10" fontId="0" fillId="3" borderId="0" xfId="0" applyNumberFormat="1" applyFill="1"/>
    <xf numFmtId="0" fontId="4" fillId="3" borderId="0" xfId="0" applyFont="1" applyFill="1"/>
    <xf numFmtId="0" fontId="0" fillId="0" borderId="1" xfId="0" applyBorder="1"/>
    <xf numFmtId="2" fontId="0" fillId="0" borderId="0" xfId="0" applyNumberFormat="1"/>
    <xf numFmtId="10" fontId="4" fillId="3" borderId="0" xfId="0" applyNumberFormat="1" applyFont="1" applyFill="1"/>
    <xf numFmtId="2" fontId="0" fillId="3" borderId="0" xfId="0" applyNumberFormat="1" applyFill="1"/>
    <xf numFmtId="10" fontId="6" fillId="3" borderId="0" xfId="0" applyNumberFormat="1" applyFont="1" applyFill="1"/>
    <xf numFmtId="0" fontId="7" fillId="2" borderId="0" xfId="0" applyFont="1" applyFill="1"/>
    <xf numFmtId="10" fontId="0" fillId="4" borderId="0" xfId="0" applyNumberFormat="1" applyFill="1"/>
    <xf numFmtId="0" fontId="0" fillId="4" borderId="0" xfId="0" applyFill="1"/>
    <xf numFmtId="10" fontId="0" fillId="0" borderId="1" xfId="0" applyNumberFormat="1" applyBorder="1"/>
    <xf numFmtId="3" fontId="0" fillId="0" borderId="1" xfId="0" applyNumberFormat="1" applyBorder="1"/>
    <xf numFmtId="2" fontId="0" fillId="0" borderId="1" xfId="0" applyNumberFormat="1" applyBorder="1"/>
    <xf numFmtId="2" fontId="4" fillId="3" borderId="0" xfId="0" applyNumberFormat="1" applyFont="1" applyFill="1"/>
    <xf numFmtId="2" fontId="4" fillId="0" borderId="0" xfId="0" applyNumberFormat="1" applyFont="1"/>
    <xf numFmtId="2" fontId="6" fillId="3" borderId="0" xfId="0" applyNumberFormat="1" applyFont="1" applyFill="1"/>
    <xf numFmtId="3" fontId="0" fillId="0" borderId="0" xfId="0" applyNumberFormat="1"/>
    <xf numFmtId="10" fontId="6" fillId="0" borderId="1" xfId="0" applyNumberFormat="1" applyFont="1" applyBorder="1"/>
    <xf numFmtId="9" fontId="0" fillId="0" borderId="0" xfId="0" applyNumberFormat="1"/>
    <xf numFmtId="10" fontId="6" fillId="0" borderId="0" xfId="0" applyNumberFormat="1" applyFont="1"/>
    <xf numFmtId="0" fontId="0" fillId="2" borderId="0" xfId="0" applyFill="1"/>
    <xf numFmtId="2" fontId="0" fillId="4" borderId="0" xfId="0" applyNumberFormat="1" applyFill="1"/>
    <xf numFmtId="3" fontId="0" fillId="4" borderId="0" xfId="0" applyNumberFormat="1" applyFill="1"/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C12"/>
  <sheetViews>
    <sheetView tabSelected="1" workbookViewId="0">
      <selection activeCell="B2" sqref="B2"/>
    </sheetView>
  </sheetViews>
  <sheetFormatPr defaultRowHeight="14.4" x14ac:dyDescent="0.3"/>
  <cols>
    <col min="2" max="2" width="28.6640625" bestFit="1" customWidth="1"/>
    <col min="3" max="3" width="16.44140625" bestFit="1" customWidth="1"/>
  </cols>
  <sheetData>
    <row r="2" spans="2:3" ht="21" x14ac:dyDescent="0.4">
      <c r="B2" s="4" t="s">
        <v>0</v>
      </c>
    </row>
    <row r="3" spans="2:3" x14ac:dyDescent="0.3">
      <c r="B3" t="s">
        <v>1</v>
      </c>
    </row>
    <row r="4" spans="2:3" x14ac:dyDescent="0.3">
      <c r="B4" t="s">
        <v>2</v>
      </c>
    </row>
    <row r="6" spans="2:3" x14ac:dyDescent="0.3">
      <c r="B6" t="s">
        <v>3</v>
      </c>
      <c r="C6" t="s">
        <v>4</v>
      </c>
    </row>
    <row r="7" spans="2:3" x14ac:dyDescent="0.3">
      <c r="B7" t="s">
        <v>5</v>
      </c>
      <c r="C7" s="1">
        <v>46269</v>
      </c>
    </row>
    <row r="9" spans="2:3" x14ac:dyDescent="0.3">
      <c r="B9" t="s">
        <v>6</v>
      </c>
      <c r="C9" t="s">
        <v>7</v>
      </c>
    </row>
    <row r="10" spans="2:3" x14ac:dyDescent="0.3">
      <c r="B10" t="s">
        <v>8</v>
      </c>
      <c r="C10" s="2">
        <v>457.9</v>
      </c>
    </row>
    <row r="11" spans="2:3" x14ac:dyDescent="0.3">
      <c r="B11" t="s">
        <v>9</v>
      </c>
      <c r="C11" t="s">
        <v>10</v>
      </c>
    </row>
    <row r="12" spans="2:3" x14ac:dyDescent="0.3">
      <c r="B12" t="s">
        <v>11</v>
      </c>
      <c r="C1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D644-8194-4427-B60A-56DCA5C6F513}">
  <sheetPr>
    <tabColor rgb="FFFFFF00"/>
  </sheetPr>
  <dimension ref="A3:E73"/>
  <sheetViews>
    <sheetView zoomScale="91" zoomScaleNormal="100" workbookViewId="0"/>
  </sheetViews>
  <sheetFormatPr defaultRowHeight="14.4" x14ac:dyDescent="0.3"/>
  <cols>
    <col min="1" max="1" width="32.5546875" bestFit="1" customWidth="1"/>
    <col min="2" max="2" width="5.21875" customWidth="1"/>
    <col min="3" max="3" width="10.44140625" bestFit="1" customWidth="1"/>
    <col min="4" max="4" width="10" bestFit="1" customWidth="1"/>
  </cols>
  <sheetData>
    <row r="3" spans="1:5" ht="18" x14ac:dyDescent="0.35">
      <c r="A3" s="18" t="s">
        <v>93</v>
      </c>
    </row>
    <row r="4" spans="1:5" x14ac:dyDescent="0.3">
      <c r="B4" t="s">
        <v>34</v>
      </c>
    </row>
    <row r="6" spans="1:5" x14ac:dyDescent="0.3">
      <c r="A6" s="6" t="s">
        <v>79</v>
      </c>
    </row>
    <row r="7" spans="1:5" x14ac:dyDescent="0.3">
      <c r="A7" t="s">
        <v>94</v>
      </c>
      <c r="B7" t="s">
        <v>101</v>
      </c>
      <c r="C7" s="14">
        <f>Cover!C10</f>
        <v>457.9</v>
      </c>
    </row>
    <row r="8" spans="1:5" x14ac:dyDescent="0.3">
      <c r="A8" t="s">
        <v>96</v>
      </c>
      <c r="B8" t="s">
        <v>98</v>
      </c>
      <c r="C8" s="14">
        <f>'Income Statement'!H26/'Income Statement'!H28*10</f>
        <v>753.38235294117635</v>
      </c>
    </row>
    <row r="9" spans="1:5" x14ac:dyDescent="0.3">
      <c r="A9" t="s">
        <v>97</v>
      </c>
      <c r="B9" t="s">
        <v>102</v>
      </c>
      <c r="C9" s="14">
        <f>C7*C8/10</f>
        <v>34497.377941176463</v>
      </c>
    </row>
    <row r="11" spans="1:5" x14ac:dyDescent="0.3">
      <c r="C11" t="s">
        <v>29</v>
      </c>
      <c r="D11" t="s">
        <v>30</v>
      </c>
      <c r="E11" t="s">
        <v>31</v>
      </c>
    </row>
    <row r="13" spans="1:5" x14ac:dyDescent="0.3">
      <c r="A13" s="6" t="s">
        <v>99</v>
      </c>
    </row>
    <row r="15" spans="1:5" x14ac:dyDescent="0.3">
      <c r="A15" s="3" t="s">
        <v>100</v>
      </c>
    </row>
    <row r="16" spans="1:5" x14ac:dyDescent="0.3">
      <c r="A16" t="s">
        <v>74</v>
      </c>
      <c r="B16" t="s">
        <v>35</v>
      </c>
      <c r="C16" s="19">
        <v>0.2</v>
      </c>
      <c r="D16" s="19">
        <v>0.15</v>
      </c>
      <c r="E16" s="19">
        <v>0.12</v>
      </c>
    </row>
    <row r="17" spans="1:5" x14ac:dyDescent="0.3">
      <c r="A17" t="s">
        <v>75</v>
      </c>
      <c r="B17" t="s">
        <v>35</v>
      </c>
      <c r="C17" s="19">
        <v>0.25</v>
      </c>
      <c r="D17" s="19">
        <v>0.2</v>
      </c>
      <c r="E17" s="19">
        <v>0.18</v>
      </c>
    </row>
    <row r="18" spans="1:5" x14ac:dyDescent="0.3">
      <c r="A18" t="s">
        <v>76</v>
      </c>
      <c r="B18" t="s">
        <v>35</v>
      </c>
      <c r="C18" s="19">
        <v>0.3</v>
      </c>
      <c r="D18" s="19">
        <v>0.25</v>
      </c>
      <c r="E18" s="19">
        <v>0.22</v>
      </c>
    </row>
    <row r="20" spans="1:5" x14ac:dyDescent="0.3">
      <c r="A20" s="3" t="s">
        <v>103</v>
      </c>
    </row>
    <row r="21" spans="1:5" x14ac:dyDescent="0.3">
      <c r="A21" t="s">
        <v>74</v>
      </c>
      <c r="B21" t="s">
        <v>35</v>
      </c>
      <c r="C21" s="19">
        <v>0.92</v>
      </c>
      <c r="D21" s="19">
        <v>0.91</v>
      </c>
      <c r="E21" s="19">
        <v>0.90500000000000003</v>
      </c>
    </row>
    <row r="22" spans="1:5" x14ac:dyDescent="0.3">
      <c r="A22" t="s">
        <v>75</v>
      </c>
      <c r="B22" t="s">
        <v>35</v>
      </c>
      <c r="C22" s="19">
        <v>0.91</v>
      </c>
      <c r="D22" s="19">
        <v>0.89500000000000002</v>
      </c>
      <c r="E22" s="19">
        <v>0.88500000000000001</v>
      </c>
    </row>
    <row r="23" spans="1:5" x14ac:dyDescent="0.3">
      <c r="A23" t="s">
        <v>76</v>
      </c>
      <c r="B23" t="s">
        <v>35</v>
      </c>
      <c r="C23" s="19">
        <v>0.89500000000000002</v>
      </c>
      <c r="D23" s="19">
        <v>0.875</v>
      </c>
      <c r="E23" s="19">
        <v>0.86</v>
      </c>
    </row>
    <row r="25" spans="1:5" x14ac:dyDescent="0.3">
      <c r="A25" s="3" t="s">
        <v>104</v>
      </c>
    </row>
    <row r="26" spans="1:5" x14ac:dyDescent="0.3">
      <c r="A26" t="s">
        <v>74</v>
      </c>
      <c r="B26" t="s">
        <v>102</v>
      </c>
      <c r="C26" s="32">
        <v>780</v>
      </c>
      <c r="D26" s="32">
        <v>820</v>
      </c>
      <c r="E26" s="32">
        <v>850</v>
      </c>
    </row>
    <row r="27" spans="1:5" x14ac:dyDescent="0.3">
      <c r="A27" t="s">
        <v>75</v>
      </c>
      <c r="B27" t="s">
        <v>102</v>
      </c>
      <c r="C27" s="32">
        <v>750</v>
      </c>
      <c r="D27" s="32">
        <v>780</v>
      </c>
      <c r="E27" s="32">
        <v>800</v>
      </c>
    </row>
    <row r="28" spans="1:5" x14ac:dyDescent="0.3">
      <c r="A28" t="s">
        <v>76</v>
      </c>
      <c r="B28" t="s">
        <v>102</v>
      </c>
      <c r="C28" s="32">
        <v>720</v>
      </c>
      <c r="D28" s="32">
        <v>740</v>
      </c>
      <c r="E28" s="32">
        <v>750</v>
      </c>
    </row>
    <row r="30" spans="1:5" x14ac:dyDescent="0.3">
      <c r="A30" s="3" t="s">
        <v>105</v>
      </c>
    </row>
    <row r="31" spans="1:5" x14ac:dyDescent="0.3">
      <c r="A31" t="s">
        <v>74</v>
      </c>
      <c r="B31" t="s">
        <v>102</v>
      </c>
      <c r="C31" s="32">
        <v>160</v>
      </c>
      <c r="D31" s="32">
        <v>170</v>
      </c>
      <c r="E31" s="32">
        <v>175</v>
      </c>
    </row>
    <row r="32" spans="1:5" x14ac:dyDescent="0.3">
      <c r="A32" t="s">
        <v>75</v>
      </c>
      <c r="B32" t="s">
        <v>102</v>
      </c>
      <c r="C32" s="32">
        <v>150</v>
      </c>
      <c r="D32" s="32">
        <v>155</v>
      </c>
      <c r="E32" s="32">
        <v>155</v>
      </c>
    </row>
    <row r="33" spans="1:5" x14ac:dyDescent="0.3">
      <c r="A33" t="s">
        <v>76</v>
      </c>
      <c r="B33" t="s">
        <v>102</v>
      </c>
      <c r="C33" s="32">
        <v>140</v>
      </c>
      <c r="D33" s="32">
        <v>135</v>
      </c>
      <c r="E33" s="32">
        <v>130</v>
      </c>
    </row>
    <row r="35" spans="1:5" x14ac:dyDescent="0.3">
      <c r="A35" s="3" t="s">
        <v>13</v>
      </c>
    </row>
    <row r="36" spans="1:5" x14ac:dyDescent="0.3">
      <c r="A36" t="s">
        <v>74</v>
      </c>
      <c r="B36" t="s">
        <v>102</v>
      </c>
      <c r="C36" s="32">
        <v>280</v>
      </c>
      <c r="D36" s="32">
        <v>290</v>
      </c>
      <c r="E36" s="32">
        <v>300</v>
      </c>
    </row>
    <row r="37" spans="1:5" x14ac:dyDescent="0.3">
      <c r="A37" t="s">
        <v>75</v>
      </c>
      <c r="B37" t="s">
        <v>102</v>
      </c>
      <c r="C37" s="32">
        <v>300</v>
      </c>
      <c r="D37" s="32">
        <v>310</v>
      </c>
      <c r="E37" s="32">
        <v>320</v>
      </c>
    </row>
    <row r="38" spans="1:5" x14ac:dyDescent="0.3">
      <c r="A38" t="s">
        <v>76</v>
      </c>
      <c r="B38" t="s">
        <v>102</v>
      </c>
      <c r="C38" s="32">
        <v>320</v>
      </c>
      <c r="D38" s="32">
        <v>340</v>
      </c>
      <c r="E38" s="32">
        <v>360</v>
      </c>
    </row>
    <row r="40" spans="1:5" x14ac:dyDescent="0.3">
      <c r="A40" s="3" t="s">
        <v>81</v>
      </c>
    </row>
    <row r="41" spans="1:5" x14ac:dyDescent="0.3">
      <c r="A41" t="s">
        <v>74</v>
      </c>
      <c r="B41" t="s">
        <v>35</v>
      </c>
      <c r="C41" s="19">
        <v>0.15</v>
      </c>
      <c r="D41" s="19">
        <v>0.2</v>
      </c>
      <c r="E41" s="19">
        <v>0.25</v>
      </c>
    </row>
    <row r="42" spans="1:5" x14ac:dyDescent="0.3">
      <c r="A42" t="s">
        <v>75</v>
      </c>
      <c r="B42" t="s">
        <v>35</v>
      </c>
      <c r="C42" s="19">
        <v>0.1</v>
      </c>
      <c r="D42" s="19">
        <v>0.15</v>
      </c>
      <c r="E42" s="19">
        <v>0.22</v>
      </c>
    </row>
    <row r="43" spans="1:5" x14ac:dyDescent="0.3">
      <c r="A43" t="s">
        <v>76</v>
      </c>
      <c r="B43" t="s">
        <v>35</v>
      </c>
      <c r="C43" s="19">
        <v>0.05</v>
      </c>
      <c r="D43" s="19">
        <v>0.1</v>
      </c>
      <c r="E43" s="19">
        <v>0.18</v>
      </c>
    </row>
    <row r="46" spans="1:5" x14ac:dyDescent="0.3">
      <c r="A46" s="6" t="s">
        <v>106</v>
      </c>
    </row>
    <row r="48" spans="1:5" x14ac:dyDescent="0.3">
      <c r="A48" s="3" t="s">
        <v>39</v>
      </c>
      <c r="B48" t="s">
        <v>102</v>
      </c>
      <c r="C48" s="32">
        <f>'Balance Sheet'!$H$6</f>
        <v>75</v>
      </c>
      <c r="D48" s="32">
        <f>'Balance Sheet'!$H$6</f>
        <v>75</v>
      </c>
      <c r="E48" s="32">
        <f>'Balance Sheet'!$H$6</f>
        <v>75</v>
      </c>
    </row>
    <row r="50" spans="1:5" x14ac:dyDescent="0.3">
      <c r="A50" s="3" t="s">
        <v>42</v>
      </c>
      <c r="B50" t="s">
        <v>102</v>
      </c>
      <c r="C50" s="32">
        <f>'Balance Sheet'!$H$10</f>
        <v>1463</v>
      </c>
      <c r="D50" s="32">
        <f>'Balance Sheet'!$H$10</f>
        <v>1463</v>
      </c>
      <c r="E50" s="32">
        <f>'Balance Sheet'!$H$10</f>
        <v>1463</v>
      </c>
    </row>
    <row r="52" spans="1:5" x14ac:dyDescent="0.3">
      <c r="A52" s="3" t="s">
        <v>107</v>
      </c>
      <c r="B52" t="s">
        <v>35</v>
      </c>
      <c r="C52" s="19">
        <v>0.1</v>
      </c>
      <c r="D52" s="19">
        <v>0.1</v>
      </c>
      <c r="E52" s="19">
        <v>0.1</v>
      </c>
    </row>
    <row r="54" spans="1:5" x14ac:dyDescent="0.3">
      <c r="A54" s="3" t="s">
        <v>47</v>
      </c>
      <c r="B54" t="s">
        <v>102</v>
      </c>
      <c r="C54" s="20">
        <f>'Balance Sheet'!$H$17</f>
        <v>1</v>
      </c>
      <c r="D54" s="20">
        <f>'Balance Sheet'!$H$17</f>
        <v>1</v>
      </c>
      <c r="E54" s="20">
        <f>'Balance Sheet'!$H$17</f>
        <v>1</v>
      </c>
    </row>
    <row r="56" spans="1:5" x14ac:dyDescent="0.3">
      <c r="A56" s="3" t="s">
        <v>48</v>
      </c>
      <c r="B56" t="s">
        <v>102</v>
      </c>
      <c r="C56" s="33">
        <f>'Balance Sheet'!$H$18</f>
        <v>2961</v>
      </c>
      <c r="D56" s="33">
        <f>'Balance Sheet'!$H$18</f>
        <v>2961</v>
      </c>
      <c r="E56" s="33">
        <f>'Balance Sheet'!$H$18</f>
        <v>2961</v>
      </c>
    </row>
    <row r="58" spans="1:5" x14ac:dyDescent="0.3">
      <c r="A58" s="3" t="s">
        <v>108</v>
      </c>
      <c r="C58" s="5"/>
      <c r="D58" s="5"/>
      <c r="E58" s="5"/>
    </row>
    <row r="59" spans="1:5" x14ac:dyDescent="0.3">
      <c r="A59" t="s">
        <v>74</v>
      </c>
      <c r="B59" t="s">
        <v>35</v>
      </c>
      <c r="C59" s="19">
        <f>C16</f>
        <v>0.2</v>
      </c>
      <c r="D59" s="19">
        <f t="shared" ref="D59:E59" si="0">D16</f>
        <v>0.15</v>
      </c>
      <c r="E59" s="19">
        <f t="shared" si="0"/>
        <v>0.12</v>
      </c>
    </row>
    <row r="60" spans="1:5" x14ac:dyDescent="0.3">
      <c r="A60" t="s">
        <v>75</v>
      </c>
      <c r="B60" t="s">
        <v>35</v>
      </c>
      <c r="C60" s="19">
        <f t="shared" ref="C60:E60" si="1">C17</f>
        <v>0.25</v>
      </c>
      <c r="D60" s="19">
        <f t="shared" si="1"/>
        <v>0.2</v>
      </c>
      <c r="E60" s="19">
        <f t="shared" si="1"/>
        <v>0.18</v>
      </c>
    </row>
    <row r="61" spans="1:5" x14ac:dyDescent="0.3">
      <c r="A61" t="s">
        <v>76</v>
      </c>
      <c r="B61" t="s">
        <v>35</v>
      </c>
      <c r="C61" s="19">
        <f t="shared" ref="C61:E61" si="2">C18</f>
        <v>0.3</v>
      </c>
      <c r="D61" s="19">
        <f t="shared" si="2"/>
        <v>0.25</v>
      </c>
      <c r="E61" s="19">
        <f t="shared" si="2"/>
        <v>0.22</v>
      </c>
    </row>
    <row r="64" spans="1:5" x14ac:dyDescent="0.3">
      <c r="A64" s="6" t="s">
        <v>109</v>
      </c>
    </row>
    <row r="66" spans="1:5" x14ac:dyDescent="0.3">
      <c r="A66" s="3" t="s">
        <v>110</v>
      </c>
      <c r="B66" t="s">
        <v>35</v>
      </c>
      <c r="C66" s="19">
        <v>4.8000000000000001E-2</v>
      </c>
      <c r="D66" s="19">
        <v>4.8000000000000001E-2</v>
      </c>
      <c r="E66" s="19">
        <v>4.8000000000000001E-2</v>
      </c>
    </row>
    <row r="68" spans="1:5" x14ac:dyDescent="0.3">
      <c r="A68" s="3" t="s">
        <v>71</v>
      </c>
    </row>
    <row r="69" spans="1:5" x14ac:dyDescent="0.3">
      <c r="A69" t="s">
        <v>74</v>
      </c>
      <c r="B69" t="s">
        <v>35</v>
      </c>
      <c r="C69" s="19">
        <v>4.4999999999999998E-2</v>
      </c>
      <c r="D69" s="19">
        <v>0.04</v>
      </c>
      <c r="E69" s="19">
        <v>3.7999999999999999E-2</v>
      </c>
    </row>
    <row r="70" spans="1:5" x14ac:dyDescent="0.3">
      <c r="A70" t="s">
        <v>75</v>
      </c>
      <c r="B70" t="s">
        <v>35</v>
      </c>
      <c r="C70" s="19">
        <v>0.04</v>
      </c>
      <c r="D70" s="19">
        <v>3.5000000000000003E-2</v>
      </c>
      <c r="E70" s="19">
        <v>3.2000000000000001E-2</v>
      </c>
    </row>
    <row r="71" spans="1:5" x14ac:dyDescent="0.3">
      <c r="A71" t="s">
        <v>76</v>
      </c>
      <c r="B71" t="s">
        <v>35</v>
      </c>
      <c r="C71" s="19">
        <v>3.5000000000000003E-2</v>
      </c>
      <c r="D71" s="19">
        <v>0.03</v>
      </c>
      <c r="E71" s="19">
        <v>2.8000000000000001E-2</v>
      </c>
    </row>
    <row r="73" spans="1:5" x14ac:dyDescent="0.3">
      <c r="A73" s="3" t="s">
        <v>112</v>
      </c>
      <c r="B73" t="s">
        <v>35</v>
      </c>
      <c r="C73" s="19">
        <v>2.5000000000000001E-3</v>
      </c>
      <c r="D73" s="19">
        <v>2.5000000000000001E-3</v>
      </c>
      <c r="E73" s="19">
        <v>2.5000000000000001E-3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0473C-1AC1-4695-9EDE-DDC2D1B839E7}">
  <sheetPr>
    <tabColor rgb="FF00B050"/>
  </sheetPr>
  <dimension ref="A3:K33"/>
  <sheetViews>
    <sheetView zoomScaleNormal="100" workbookViewId="0"/>
  </sheetViews>
  <sheetFormatPr defaultRowHeight="14.4" x14ac:dyDescent="0.3"/>
  <cols>
    <col min="1" max="1" width="32.77734375" customWidth="1"/>
    <col min="2" max="2" width="8.77734375" customWidth="1"/>
    <col min="3" max="8" width="12.77734375" customWidth="1"/>
    <col min="9" max="9" width="12.77734375" style="13" customWidth="1"/>
    <col min="10" max="11" width="12.6640625" customWidth="1"/>
  </cols>
  <sheetData>
    <row r="3" spans="1:11" x14ac:dyDescent="0.3">
      <c r="B3" s="7" t="s">
        <v>34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27</v>
      </c>
      <c r="H3" s="7" t="s">
        <v>28</v>
      </c>
      <c r="I3" s="13" t="s">
        <v>29</v>
      </c>
      <c r="J3" t="s">
        <v>30</v>
      </c>
      <c r="K3" t="s">
        <v>31</v>
      </c>
    </row>
    <row r="5" spans="1:11" x14ac:dyDescent="0.3">
      <c r="A5" s="6" t="s">
        <v>56</v>
      </c>
    </row>
    <row r="6" spans="1:11" x14ac:dyDescent="0.3">
      <c r="A6" s="7" t="s">
        <v>12</v>
      </c>
      <c r="B6" s="7" t="s">
        <v>102</v>
      </c>
      <c r="C6" s="24">
        <v>3647</v>
      </c>
      <c r="D6" s="24">
        <v>6882</v>
      </c>
      <c r="E6" s="24">
        <v>7225</v>
      </c>
      <c r="F6" s="24">
        <v>8142</v>
      </c>
      <c r="G6" s="24">
        <v>8932</v>
      </c>
      <c r="H6" s="24">
        <v>10508</v>
      </c>
      <c r="I6" s="23">
        <f>H6*(1+Assumptions!C17)</f>
        <v>13135</v>
      </c>
      <c r="J6" s="14">
        <f>I6*(1+Assumptions!D17)</f>
        <v>15762</v>
      </c>
      <c r="K6" s="14">
        <f>J6*(1+Assumptions!E17)</f>
        <v>18599.16</v>
      </c>
    </row>
    <row r="7" spans="1:11" x14ac:dyDescent="0.3">
      <c r="A7" s="7" t="s">
        <v>36</v>
      </c>
      <c r="B7" s="7" t="s">
        <v>35</v>
      </c>
      <c r="C7" s="11"/>
      <c r="D7" s="11">
        <f>(D6-C6)/C6</f>
        <v>0.88703043597477382</v>
      </c>
      <c r="E7" s="11">
        <f t="shared" ref="E7:H7" si="0">(E6-D6)/D6</f>
        <v>4.9840162743388552E-2</v>
      </c>
      <c r="F7" s="11">
        <f t="shared" si="0"/>
        <v>0.12692041522491349</v>
      </c>
      <c r="G7" s="11">
        <f t="shared" si="0"/>
        <v>9.7027757307786788E-2</v>
      </c>
      <c r="H7" s="11">
        <f t="shared" si="0"/>
        <v>0.17644424540976264</v>
      </c>
      <c r="I7" s="21">
        <f t="shared" ref="I7" si="1">(I6-H6)/H6</f>
        <v>0.25</v>
      </c>
      <c r="J7" s="5">
        <f t="shared" ref="J7" si="2">(J6-I6)/I6</f>
        <v>0.2</v>
      </c>
      <c r="K7" s="5">
        <f t="shared" ref="K7" si="3">(K6-J6)/J6</f>
        <v>0.18</v>
      </c>
    </row>
    <row r="8" spans="1:11" x14ac:dyDescent="0.3">
      <c r="A8" s="7" t="s">
        <v>13</v>
      </c>
      <c r="B8" s="7" t="s">
        <v>102</v>
      </c>
      <c r="C8" s="24">
        <v>150</v>
      </c>
      <c r="D8" s="24">
        <v>156</v>
      </c>
      <c r="E8" s="24">
        <v>319</v>
      </c>
      <c r="F8" s="24">
        <v>439</v>
      </c>
      <c r="G8" s="24">
        <v>442</v>
      </c>
      <c r="H8" s="24">
        <v>340</v>
      </c>
      <c r="I8" s="23">
        <f>Assumptions!C37</f>
        <v>300</v>
      </c>
      <c r="J8" s="14">
        <f>Assumptions!D37</f>
        <v>310</v>
      </c>
      <c r="K8" s="14">
        <f>Assumptions!E37</f>
        <v>320</v>
      </c>
    </row>
    <row r="9" spans="1:11" x14ac:dyDescent="0.3">
      <c r="A9" s="8" t="s">
        <v>14</v>
      </c>
      <c r="B9" s="7" t="s">
        <v>102</v>
      </c>
      <c r="C9" s="16">
        <f>C6+C8</f>
        <v>3797</v>
      </c>
      <c r="D9" s="16">
        <f t="shared" ref="D9:H9" si="4">D6+D8</f>
        <v>7038</v>
      </c>
      <c r="E9" s="16">
        <f t="shared" si="4"/>
        <v>7544</v>
      </c>
      <c r="F9" s="16">
        <f t="shared" si="4"/>
        <v>8581</v>
      </c>
      <c r="G9" s="16">
        <f t="shared" si="4"/>
        <v>9374</v>
      </c>
      <c r="H9" s="16">
        <f t="shared" si="4"/>
        <v>10848</v>
      </c>
      <c r="I9" s="23">
        <f t="shared" ref="I9" si="5">I6+I8</f>
        <v>13435</v>
      </c>
      <c r="J9" s="14">
        <f t="shared" ref="J9" si="6">J6+J8</f>
        <v>16072</v>
      </c>
      <c r="K9" s="14">
        <f t="shared" ref="K9" si="7">K6+K8</f>
        <v>18919.16</v>
      </c>
    </row>
    <row r="11" spans="1:11" x14ac:dyDescent="0.3">
      <c r="A11" s="6" t="s">
        <v>57</v>
      </c>
    </row>
    <row r="12" spans="1:11" x14ac:dyDescent="0.3">
      <c r="A12" s="7" t="s">
        <v>33</v>
      </c>
      <c r="B12" s="7" t="s">
        <v>102</v>
      </c>
      <c r="C12" s="24">
        <v>3769</v>
      </c>
      <c r="D12" s="24">
        <v>7357</v>
      </c>
      <c r="E12" s="24">
        <v>7677</v>
      </c>
      <c r="F12" s="24">
        <v>8015</v>
      </c>
      <c r="G12" s="24">
        <v>8556</v>
      </c>
      <c r="H12" s="24">
        <v>9868</v>
      </c>
      <c r="I12" s="23">
        <f>I6*Assumptions!C22</f>
        <v>11952.85</v>
      </c>
      <c r="J12" s="14">
        <f>J6*Assumptions!D22</f>
        <v>14106.99</v>
      </c>
      <c r="K12" s="14">
        <f>K6*Assumptions!E22</f>
        <v>16460.256600000001</v>
      </c>
    </row>
    <row r="14" spans="1:11" x14ac:dyDescent="0.3">
      <c r="A14" s="6" t="s">
        <v>58</v>
      </c>
    </row>
    <row r="15" spans="1:11" x14ac:dyDescent="0.3">
      <c r="A15" s="8" t="s">
        <v>15</v>
      </c>
      <c r="B15" s="7" t="s">
        <v>102</v>
      </c>
      <c r="C15" s="10">
        <f t="shared" ref="C15:H15" si="8">C6-C12</f>
        <v>-122</v>
      </c>
      <c r="D15" s="10">
        <f t="shared" si="8"/>
        <v>-475</v>
      </c>
      <c r="E15" s="10">
        <f t="shared" si="8"/>
        <v>-452</v>
      </c>
      <c r="F15" s="10">
        <f t="shared" si="8"/>
        <v>127</v>
      </c>
      <c r="G15" s="10">
        <f t="shared" si="8"/>
        <v>376</v>
      </c>
      <c r="H15" s="10">
        <f t="shared" si="8"/>
        <v>640</v>
      </c>
      <c r="I15" s="23">
        <f t="shared" ref="I15:K15" si="9">I6-I12</f>
        <v>1182.1499999999996</v>
      </c>
      <c r="J15" s="14">
        <f t="shared" si="9"/>
        <v>1655.0100000000002</v>
      </c>
      <c r="K15" s="14">
        <f t="shared" si="9"/>
        <v>2138.9033999999992</v>
      </c>
    </row>
    <row r="16" spans="1:11" x14ac:dyDescent="0.3">
      <c r="A16" s="7" t="s">
        <v>16</v>
      </c>
      <c r="B16" s="7" t="s">
        <v>35</v>
      </c>
      <c r="C16" s="11">
        <f t="shared" ref="C16:H16" si="10">C15/C6</f>
        <v>-3.3452152454071842E-2</v>
      </c>
      <c r="D16" s="11">
        <f t="shared" si="10"/>
        <v>-6.9020633536762563E-2</v>
      </c>
      <c r="E16" s="11">
        <f t="shared" si="10"/>
        <v>-6.2560553633217997E-2</v>
      </c>
      <c r="F16" s="11">
        <f t="shared" si="10"/>
        <v>1.5598133136821421E-2</v>
      </c>
      <c r="G16" s="11">
        <f t="shared" si="10"/>
        <v>4.2095835199283477E-2</v>
      </c>
      <c r="H16" s="11">
        <f t="shared" si="10"/>
        <v>6.0905976398934143E-2</v>
      </c>
      <c r="I16" s="21">
        <f t="shared" ref="I16:K16" si="11">I15/I6</f>
        <v>8.9999999999999969E-2</v>
      </c>
      <c r="J16" s="5">
        <f t="shared" si="11"/>
        <v>0.10500000000000001</v>
      </c>
      <c r="K16" s="5">
        <f t="shared" si="11"/>
        <v>0.11499999999999996</v>
      </c>
    </row>
    <row r="18" spans="1:11" x14ac:dyDescent="0.3">
      <c r="A18" s="7" t="s">
        <v>60</v>
      </c>
      <c r="B18" s="7" t="s">
        <v>102</v>
      </c>
      <c r="C18" s="24">
        <v>355</v>
      </c>
      <c r="D18" s="24">
        <v>611</v>
      </c>
      <c r="E18" s="24">
        <v>831</v>
      </c>
      <c r="F18" s="24">
        <v>722</v>
      </c>
      <c r="G18" s="24">
        <v>535</v>
      </c>
      <c r="H18" s="24">
        <v>695</v>
      </c>
      <c r="I18" s="23">
        <f>Assumptions!C27</f>
        <v>750</v>
      </c>
      <c r="J18" s="14">
        <f>Assumptions!D27</f>
        <v>780</v>
      </c>
      <c r="K18" s="14">
        <f>Assumptions!E27</f>
        <v>800</v>
      </c>
    </row>
    <row r="19" spans="1:11" x14ac:dyDescent="0.3">
      <c r="A19" s="8" t="s">
        <v>17</v>
      </c>
      <c r="B19" s="7" t="s">
        <v>102</v>
      </c>
      <c r="C19" s="16">
        <f t="shared" ref="C19:H19" si="12">C15-C18</f>
        <v>-477</v>
      </c>
      <c r="D19" s="16">
        <f t="shared" si="12"/>
        <v>-1086</v>
      </c>
      <c r="E19" s="16">
        <f t="shared" si="12"/>
        <v>-1283</v>
      </c>
      <c r="F19" s="16">
        <f t="shared" si="12"/>
        <v>-595</v>
      </c>
      <c r="G19" s="16">
        <f t="shared" si="12"/>
        <v>-159</v>
      </c>
      <c r="H19" s="16">
        <f t="shared" si="12"/>
        <v>-55</v>
      </c>
      <c r="I19" s="23">
        <f t="shared" ref="I19:K19" si="13">I15-I18</f>
        <v>432.14999999999964</v>
      </c>
      <c r="J19" s="14">
        <f t="shared" si="13"/>
        <v>875.01000000000022</v>
      </c>
      <c r="K19" s="14">
        <f t="shared" si="13"/>
        <v>1338.9033999999992</v>
      </c>
    </row>
    <row r="20" spans="1:11" x14ac:dyDescent="0.3">
      <c r="A20" s="7" t="s">
        <v>18</v>
      </c>
      <c r="B20" s="7" t="s">
        <v>35</v>
      </c>
      <c r="C20" s="11">
        <f t="shared" ref="C20:H20" si="14">C19/C6</f>
        <v>-0.1307924321360022</v>
      </c>
      <c r="D20" s="11">
        <f t="shared" si="14"/>
        <v>-0.15780296425457715</v>
      </c>
      <c r="E20" s="11">
        <f t="shared" si="14"/>
        <v>-0.17757785467128029</v>
      </c>
      <c r="F20" s="11">
        <f t="shared" si="14"/>
        <v>-7.3077867845738151E-2</v>
      </c>
      <c r="G20" s="11">
        <f t="shared" si="14"/>
        <v>-1.7801164352888491E-2</v>
      </c>
      <c r="H20" s="11">
        <f t="shared" si="14"/>
        <v>-5.2341073467834032E-3</v>
      </c>
      <c r="I20" s="21">
        <f t="shared" ref="I20:K20" si="15">I19/I6</f>
        <v>3.2900647125999209E-2</v>
      </c>
      <c r="J20" s="5">
        <f t="shared" si="15"/>
        <v>5.5513894175866017E-2</v>
      </c>
      <c r="K20" s="5">
        <f t="shared" si="15"/>
        <v>7.1987304803012575E-2</v>
      </c>
    </row>
    <row r="22" spans="1:11" x14ac:dyDescent="0.3">
      <c r="A22" s="7" t="s">
        <v>59</v>
      </c>
      <c r="B22" s="7" t="s">
        <v>102</v>
      </c>
      <c r="C22" s="24">
        <v>89</v>
      </c>
      <c r="D22" s="24">
        <v>100</v>
      </c>
      <c r="E22" s="24">
        <v>89</v>
      </c>
      <c r="F22" s="24">
        <v>89</v>
      </c>
      <c r="G22" s="24">
        <v>126</v>
      </c>
      <c r="H22" s="24">
        <v>144</v>
      </c>
      <c r="I22" s="23">
        <f>Assumptions!C32</f>
        <v>150</v>
      </c>
      <c r="J22" s="14">
        <f>Assumptions!D32</f>
        <v>155</v>
      </c>
      <c r="K22" s="14">
        <f>Assumptions!E32</f>
        <v>155</v>
      </c>
    </row>
    <row r="23" spans="1:11" x14ac:dyDescent="0.3">
      <c r="A23" s="8" t="s">
        <v>19</v>
      </c>
      <c r="B23" s="7" t="s">
        <v>102</v>
      </c>
      <c r="C23" s="16">
        <f t="shared" ref="C23:H23" si="16">C19-C22+C8</f>
        <v>-416</v>
      </c>
      <c r="D23" s="16">
        <f t="shared" si="16"/>
        <v>-1030</v>
      </c>
      <c r="E23" s="16">
        <f t="shared" si="16"/>
        <v>-1053</v>
      </c>
      <c r="F23" s="16">
        <f t="shared" si="16"/>
        <v>-245</v>
      </c>
      <c r="G23" s="16">
        <f t="shared" si="16"/>
        <v>157</v>
      </c>
      <c r="H23" s="16">
        <f t="shared" si="16"/>
        <v>141</v>
      </c>
      <c r="I23" s="23">
        <f t="shared" ref="I23:K23" si="17">I19-I22+I8</f>
        <v>582.14999999999964</v>
      </c>
      <c r="J23" s="14">
        <f t="shared" si="17"/>
        <v>1030.0100000000002</v>
      </c>
      <c r="K23" s="14">
        <f t="shared" si="17"/>
        <v>1503.9033999999992</v>
      </c>
    </row>
    <row r="24" spans="1:11" x14ac:dyDescent="0.3">
      <c r="A24" s="7" t="s">
        <v>81</v>
      </c>
      <c r="B24" s="7" t="s">
        <v>35</v>
      </c>
      <c r="C24" s="15">
        <v>0</v>
      </c>
      <c r="D24" s="15">
        <v>-0.02</v>
      </c>
      <c r="E24" s="15">
        <v>-0.04</v>
      </c>
      <c r="F24" s="15">
        <v>0.02</v>
      </c>
      <c r="G24" s="15">
        <v>-0.03</v>
      </c>
      <c r="H24" s="15">
        <v>-0.09</v>
      </c>
      <c r="I24" s="21">
        <f>Assumptions!C42</f>
        <v>0.1</v>
      </c>
      <c r="J24" s="5">
        <f>Assumptions!D42</f>
        <v>0.15</v>
      </c>
      <c r="K24" s="5">
        <f>Assumptions!E42</f>
        <v>0.22</v>
      </c>
    </row>
    <row r="25" spans="1:11" x14ac:dyDescent="0.3">
      <c r="A25" s="7" t="s">
        <v>20</v>
      </c>
      <c r="B25" s="7" t="s">
        <v>102</v>
      </c>
      <c r="C25" s="26">
        <f>ABS(C23)*C24</f>
        <v>0</v>
      </c>
      <c r="D25" s="26">
        <f t="shared" ref="D25:H25" si="18">ABS(D23)*D24</f>
        <v>-20.6</v>
      </c>
      <c r="E25" s="26">
        <f t="shared" si="18"/>
        <v>-42.12</v>
      </c>
      <c r="F25" s="26">
        <f t="shared" si="18"/>
        <v>4.9000000000000004</v>
      </c>
      <c r="G25" s="26">
        <f t="shared" si="18"/>
        <v>-4.71</v>
      </c>
      <c r="H25" s="26">
        <f t="shared" si="18"/>
        <v>-12.69</v>
      </c>
      <c r="I25" s="23">
        <f>ABS(I23)*I24</f>
        <v>58.214999999999968</v>
      </c>
      <c r="J25" s="14">
        <f t="shared" ref="J25:K25" si="19">ABS(J23)*J24</f>
        <v>154.50150000000002</v>
      </c>
      <c r="K25" s="14">
        <f t="shared" si="19"/>
        <v>330.85874799999982</v>
      </c>
    </row>
    <row r="26" spans="1:11" x14ac:dyDescent="0.3">
      <c r="A26" s="8" t="s">
        <v>21</v>
      </c>
      <c r="B26" s="7" t="s">
        <v>102</v>
      </c>
      <c r="C26" s="16">
        <f>C23-C25</f>
        <v>-416</v>
      </c>
      <c r="D26" s="16">
        <f t="shared" ref="D26:H26" si="20">D23-D25</f>
        <v>-1009.4</v>
      </c>
      <c r="E26" s="16">
        <f t="shared" si="20"/>
        <v>-1010.88</v>
      </c>
      <c r="F26" s="16">
        <f t="shared" si="20"/>
        <v>-249.9</v>
      </c>
      <c r="G26" s="16">
        <f t="shared" si="20"/>
        <v>161.71</v>
      </c>
      <c r="H26" s="16">
        <f t="shared" si="20"/>
        <v>153.69</v>
      </c>
      <c r="I26" s="23">
        <f t="shared" ref="I26" si="21">I23-I25</f>
        <v>523.93499999999972</v>
      </c>
      <c r="J26" s="14">
        <f t="shared" ref="J26" si="22">J23-J25</f>
        <v>875.50850000000014</v>
      </c>
      <c r="K26" s="14">
        <f t="shared" ref="K26" si="23">K23-K25</f>
        <v>1173.0446519999994</v>
      </c>
    </row>
    <row r="27" spans="1:11" x14ac:dyDescent="0.3">
      <c r="A27" s="7" t="s">
        <v>22</v>
      </c>
      <c r="B27" s="7" t="s">
        <v>35</v>
      </c>
      <c r="C27" s="11">
        <f t="shared" ref="C27:H27" si="24">C26/C6</f>
        <v>-0.11406635590896627</v>
      </c>
      <c r="D27" s="11">
        <f t="shared" si="24"/>
        <v>-0.14667247893054344</v>
      </c>
      <c r="E27" s="11">
        <f t="shared" si="24"/>
        <v>-0.13991418685121107</v>
      </c>
      <c r="F27" s="11">
        <f t="shared" si="24"/>
        <v>-3.0692704495210024E-2</v>
      </c>
      <c r="G27" s="11">
        <f t="shared" si="24"/>
        <v>1.8104567845947158E-2</v>
      </c>
      <c r="H27" s="11">
        <f t="shared" si="24"/>
        <v>1.4625999238675295E-2</v>
      </c>
      <c r="I27" s="21">
        <f t="shared" ref="I27:K27" si="25">I26/I6</f>
        <v>3.988846593071943E-2</v>
      </c>
      <c r="J27" s="5">
        <f t="shared" si="25"/>
        <v>5.5545520872985671E-2</v>
      </c>
      <c r="K27" s="5">
        <f t="shared" si="25"/>
        <v>6.3069765086165144E-2</v>
      </c>
    </row>
    <row r="28" spans="1:11" x14ac:dyDescent="0.3">
      <c r="A28" s="7" t="s">
        <v>32</v>
      </c>
      <c r="B28" s="7" t="s">
        <v>101</v>
      </c>
      <c r="C28" s="24">
        <v>-2492.6</v>
      </c>
      <c r="D28" s="24">
        <v>-15.75</v>
      </c>
      <c r="E28" s="24">
        <v>-13.83</v>
      </c>
      <c r="F28" s="24">
        <v>-3.38</v>
      </c>
      <c r="G28" s="24">
        <v>2.17</v>
      </c>
      <c r="H28" s="24">
        <v>2.04</v>
      </c>
      <c r="I28" s="23">
        <f>I26/Assumptions!$C$8*10</f>
        <v>6.9544368534062055</v>
      </c>
      <c r="J28" s="14">
        <f>J26/Assumptions!$C$8*10</f>
        <v>11.621038063634593</v>
      </c>
      <c r="K28" s="14">
        <f>K26/Assumptions!$C$8*10</f>
        <v>15.570376017177431</v>
      </c>
    </row>
    <row r="30" spans="1:11" x14ac:dyDescent="0.3">
      <c r="A30" t="s">
        <v>184</v>
      </c>
      <c r="C30" s="25"/>
      <c r="D30" s="25"/>
      <c r="E30" s="25"/>
      <c r="F30" s="25"/>
      <c r="G30" s="25"/>
      <c r="H30" s="25"/>
      <c r="I30" s="23"/>
      <c r="J30" s="14"/>
      <c r="K30" s="14"/>
    </row>
    <row r="31" spans="1:11" x14ac:dyDescent="0.3">
      <c r="A31" t="s">
        <v>185</v>
      </c>
      <c r="C31" s="14"/>
      <c r="D31" s="14"/>
      <c r="E31" s="14"/>
      <c r="F31" s="14"/>
      <c r="G31" s="14"/>
      <c r="H31" s="14"/>
      <c r="I31" s="23"/>
      <c r="J31" s="14"/>
      <c r="K31" s="14"/>
    </row>
    <row r="32" spans="1:11" x14ac:dyDescent="0.3">
      <c r="A32" t="s">
        <v>186</v>
      </c>
      <c r="C32" s="5"/>
      <c r="D32" s="5"/>
      <c r="E32" s="5"/>
      <c r="F32" s="5"/>
      <c r="G32" s="5"/>
      <c r="H32" s="5"/>
      <c r="I32" s="21"/>
      <c r="J32" s="5"/>
      <c r="K32" s="5"/>
    </row>
    <row r="33" spans="1:1" x14ac:dyDescent="0.3">
      <c r="A33" t="s">
        <v>187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C4B0-3DF5-415D-87FD-43AE07D6DB0E}">
  <sheetPr>
    <tabColor rgb="FF00B050"/>
  </sheetPr>
  <dimension ref="A3:M27"/>
  <sheetViews>
    <sheetView zoomScale="92" zoomScaleNormal="100" workbookViewId="0"/>
  </sheetViews>
  <sheetFormatPr defaultRowHeight="14.4" x14ac:dyDescent="0.3"/>
  <cols>
    <col min="1" max="1" width="30" customWidth="1"/>
    <col min="2" max="2" width="6" customWidth="1"/>
    <col min="3" max="8" width="10.77734375" customWidth="1"/>
    <col min="9" max="9" width="11" style="13" customWidth="1"/>
    <col min="10" max="11" width="11" customWidth="1"/>
  </cols>
  <sheetData>
    <row r="3" spans="1:11" x14ac:dyDescent="0.3">
      <c r="B3" s="7" t="s">
        <v>38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27</v>
      </c>
      <c r="H3" s="7" t="s">
        <v>28</v>
      </c>
      <c r="I3" s="13" t="s">
        <v>29</v>
      </c>
      <c r="J3" t="s">
        <v>30</v>
      </c>
      <c r="K3" t="s">
        <v>31</v>
      </c>
    </row>
    <row r="5" spans="1:11" x14ac:dyDescent="0.3">
      <c r="A5" s="6" t="s">
        <v>37</v>
      </c>
    </row>
    <row r="6" spans="1:11" x14ac:dyDescent="0.3">
      <c r="A6" s="7" t="s">
        <v>39</v>
      </c>
      <c r="B6" s="7" t="s">
        <v>102</v>
      </c>
      <c r="C6" s="12">
        <v>2</v>
      </c>
      <c r="D6" s="12">
        <v>64</v>
      </c>
      <c r="E6" s="12">
        <v>73</v>
      </c>
      <c r="F6" s="12">
        <v>74</v>
      </c>
      <c r="G6" s="12">
        <v>75</v>
      </c>
      <c r="H6" s="12">
        <v>75</v>
      </c>
      <c r="I6" s="23">
        <f>Assumptions!C48</f>
        <v>75</v>
      </c>
      <c r="J6" s="14">
        <f>Assumptions!D48</f>
        <v>75</v>
      </c>
      <c r="K6" s="14">
        <f>Assumptions!E48</f>
        <v>75</v>
      </c>
    </row>
    <row r="7" spans="1:11" x14ac:dyDescent="0.3">
      <c r="A7" s="7" t="s">
        <v>40</v>
      </c>
      <c r="B7" s="7" t="s">
        <v>102</v>
      </c>
      <c r="C7" s="9">
        <v>2800</v>
      </c>
      <c r="D7" s="9">
        <v>5893</v>
      </c>
      <c r="E7" s="9">
        <v>9104</v>
      </c>
      <c r="F7" s="9">
        <v>9071</v>
      </c>
      <c r="G7" s="9">
        <v>9358</v>
      </c>
      <c r="H7" s="9">
        <v>9612</v>
      </c>
      <c r="I7" s="23">
        <f>H7+'Income Statement'!I26</f>
        <v>10135.934999999999</v>
      </c>
      <c r="J7" s="14">
        <f>I7+'Income Statement'!J26</f>
        <v>11011.443499999999</v>
      </c>
      <c r="K7" s="14">
        <f>J7+'Income Statement'!K26</f>
        <v>12184.488151999998</v>
      </c>
    </row>
    <row r="8" spans="1:11" x14ac:dyDescent="0.3">
      <c r="A8" s="8" t="s">
        <v>41</v>
      </c>
      <c r="B8" s="7" t="s">
        <v>102</v>
      </c>
      <c r="C8" s="10">
        <f>C6+C7</f>
        <v>2802</v>
      </c>
      <c r="D8" s="10">
        <f t="shared" ref="D8:H8" si="0">D6+D7</f>
        <v>5957</v>
      </c>
      <c r="E8" s="10">
        <f t="shared" si="0"/>
        <v>9177</v>
      </c>
      <c r="F8" s="10">
        <f t="shared" si="0"/>
        <v>9145</v>
      </c>
      <c r="G8" s="10">
        <f t="shared" si="0"/>
        <v>9433</v>
      </c>
      <c r="H8" s="10">
        <f t="shared" si="0"/>
        <v>9687</v>
      </c>
      <c r="I8" s="23">
        <f>I6+I7</f>
        <v>10210.934999999999</v>
      </c>
      <c r="J8" s="14">
        <f t="shared" ref="J8:K8" si="1">J6+J7</f>
        <v>11086.443499999999</v>
      </c>
      <c r="K8" s="14">
        <f t="shared" si="1"/>
        <v>12259.488151999998</v>
      </c>
    </row>
    <row r="10" spans="1:11" x14ac:dyDescent="0.3">
      <c r="A10" s="7" t="s">
        <v>42</v>
      </c>
      <c r="B10" s="7" t="s">
        <v>102</v>
      </c>
      <c r="C10" s="9">
        <v>1152</v>
      </c>
      <c r="D10" s="9">
        <v>1102</v>
      </c>
      <c r="E10" s="9">
        <v>923</v>
      </c>
      <c r="F10" s="9">
        <v>1169</v>
      </c>
      <c r="G10" s="9">
        <v>1422</v>
      </c>
      <c r="H10" s="9">
        <v>1463</v>
      </c>
      <c r="I10" s="22">
        <f>Assumptions!C50</f>
        <v>1463</v>
      </c>
      <c r="J10" s="27">
        <f>Assumptions!D50</f>
        <v>1463</v>
      </c>
      <c r="K10" s="27">
        <f>Assumptions!E50</f>
        <v>1463</v>
      </c>
    </row>
    <row r="11" spans="1:11" x14ac:dyDescent="0.3">
      <c r="A11" s="7" t="s">
        <v>43</v>
      </c>
      <c r="B11" s="7" t="s">
        <v>102</v>
      </c>
      <c r="C11" s="12">
        <v>644</v>
      </c>
      <c r="D11" s="9">
        <v>1192</v>
      </c>
      <c r="E11" s="9">
        <v>1090</v>
      </c>
      <c r="F11" s="9">
        <v>1139</v>
      </c>
      <c r="G11" s="9">
        <v>1209</v>
      </c>
      <c r="H11" s="9">
        <v>1627</v>
      </c>
      <c r="I11" s="23">
        <f>H11*(1+Assumptions!C52)</f>
        <v>1789.7</v>
      </c>
      <c r="J11" s="14">
        <f>I11*(1+Assumptions!D52)</f>
        <v>1968.6700000000003</v>
      </c>
      <c r="K11" s="14">
        <f>J11*(1+Assumptions!E52)</f>
        <v>2165.5370000000007</v>
      </c>
    </row>
    <row r="12" spans="1:11" x14ac:dyDescent="0.3">
      <c r="A12" s="8" t="s">
        <v>44</v>
      </c>
      <c r="B12" s="7" t="s">
        <v>102</v>
      </c>
      <c r="C12" s="10">
        <f>C8+C10+C11</f>
        <v>4598</v>
      </c>
      <c r="D12" s="10">
        <f t="shared" ref="D12:H12" si="2">D8+D10+D11</f>
        <v>8251</v>
      </c>
      <c r="E12" s="10">
        <f t="shared" si="2"/>
        <v>11190</v>
      </c>
      <c r="F12" s="10">
        <f t="shared" si="2"/>
        <v>11453</v>
      </c>
      <c r="G12" s="10">
        <f t="shared" si="2"/>
        <v>12064</v>
      </c>
      <c r="H12" s="10">
        <f t="shared" si="2"/>
        <v>12777</v>
      </c>
      <c r="I12" s="22">
        <f t="shared" ref="I12" si="3">I8+I10+I11</f>
        <v>13463.635</v>
      </c>
      <c r="J12" s="27">
        <f t="shared" ref="J12" si="4">J8+J10+J11</f>
        <v>14518.113499999999</v>
      </c>
      <c r="K12" s="27">
        <f t="shared" ref="K12" si="5">K8+K10+K11</f>
        <v>15888.025151999998</v>
      </c>
    </row>
    <row r="14" spans="1:11" x14ac:dyDescent="0.3">
      <c r="A14" s="6" t="s">
        <v>45</v>
      </c>
    </row>
    <row r="15" spans="1:11" x14ac:dyDescent="0.3">
      <c r="A15" s="7" t="s">
        <v>46</v>
      </c>
      <c r="B15" s="7" t="s">
        <v>102</v>
      </c>
      <c r="C15" s="9">
        <v>1053</v>
      </c>
      <c r="D15" s="9">
        <v>3052</v>
      </c>
      <c r="E15" s="9">
        <v>2995</v>
      </c>
      <c r="F15" s="9">
        <v>3354</v>
      </c>
      <c r="G15" s="9">
        <v>3887</v>
      </c>
      <c r="H15" s="9">
        <v>5432</v>
      </c>
      <c r="I15" s="23">
        <f>H15+'Cash Flow'!I15-'Income Statement'!I18</f>
        <v>5207.3999999999996</v>
      </c>
      <c r="J15" s="14">
        <f>I15+'Cash Flow'!J15-'Income Statement'!J18</f>
        <v>4979.07</v>
      </c>
      <c r="K15" s="14">
        <f>J15+'Cash Flow'!K15-'Income Statement'!K18</f>
        <v>4774.2431200000001</v>
      </c>
    </row>
    <row r="16" spans="1:11" x14ac:dyDescent="0.3">
      <c r="A16" s="7" t="s">
        <v>61</v>
      </c>
      <c r="B16" s="7" t="s">
        <v>35</v>
      </c>
      <c r="C16" s="9"/>
      <c r="D16" s="17">
        <f>(D15-C15)/C15</f>
        <v>1.8983855650522317</v>
      </c>
      <c r="E16" s="17">
        <f t="shared" ref="E16:H16" si="6">(E15-D15)/D15</f>
        <v>-1.8676277850589777E-2</v>
      </c>
      <c r="F16" s="17">
        <f t="shared" si="6"/>
        <v>0.11986644407345576</v>
      </c>
      <c r="G16" s="17">
        <f t="shared" si="6"/>
        <v>0.15891472868217055</v>
      </c>
      <c r="H16" s="17">
        <f t="shared" si="6"/>
        <v>0.39747877540519683</v>
      </c>
      <c r="I16" s="28">
        <f>(I15-H15)/H15</f>
        <v>-4.1347569955817447E-2</v>
      </c>
      <c r="J16" s="30">
        <f t="shared" ref="J16:K16" si="7">(J15-I15)/I15</f>
        <v>-4.3847217421361898E-2</v>
      </c>
      <c r="K16" s="30">
        <f t="shared" si="7"/>
        <v>-4.1137577901093902E-2</v>
      </c>
    </row>
    <row r="17" spans="1:13" x14ac:dyDescent="0.3">
      <c r="A17" s="7" t="s">
        <v>47</v>
      </c>
      <c r="B17" s="7" t="s">
        <v>102</v>
      </c>
      <c r="C17" s="12">
        <v>77</v>
      </c>
      <c r="D17" s="12">
        <v>60</v>
      </c>
      <c r="E17" s="12">
        <v>23</v>
      </c>
      <c r="F17" s="12">
        <v>29</v>
      </c>
      <c r="G17" s="12">
        <v>33</v>
      </c>
      <c r="H17" s="12">
        <v>1</v>
      </c>
      <c r="I17" s="13">
        <f>Assumptions!C54</f>
        <v>1</v>
      </c>
      <c r="J17">
        <f>Assumptions!D54</f>
        <v>1</v>
      </c>
      <c r="K17">
        <f>Assumptions!E54</f>
        <v>1</v>
      </c>
    </row>
    <row r="18" spans="1:13" x14ac:dyDescent="0.3">
      <c r="A18" s="7" t="s">
        <v>48</v>
      </c>
      <c r="B18" s="7" t="s">
        <v>102</v>
      </c>
      <c r="C18" s="9">
        <v>1128</v>
      </c>
      <c r="D18" s="9">
        <v>2091</v>
      </c>
      <c r="E18" s="9">
        <v>2094</v>
      </c>
      <c r="F18" s="9">
        <v>2776</v>
      </c>
      <c r="G18" s="9">
        <v>3578</v>
      </c>
      <c r="H18" s="9">
        <v>2961</v>
      </c>
      <c r="I18" s="22">
        <f>Assumptions!C56</f>
        <v>2961</v>
      </c>
      <c r="J18" s="27">
        <f>Assumptions!D56</f>
        <v>2961</v>
      </c>
      <c r="K18" s="27">
        <f>Assumptions!E56</f>
        <v>2961</v>
      </c>
    </row>
    <row r="19" spans="1:13" x14ac:dyDescent="0.3">
      <c r="A19" s="7" t="s">
        <v>49</v>
      </c>
      <c r="B19" s="7" t="s">
        <v>102</v>
      </c>
      <c r="C19" s="9">
        <v>2340</v>
      </c>
      <c r="D19" s="9">
        <v>3048</v>
      </c>
      <c r="E19" s="9">
        <v>6078</v>
      </c>
      <c r="F19" s="9">
        <v>5295</v>
      </c>
      <c r="G19" s="9">
        <v>4565</v>
      </c>
      <c r="H19" s="9">
        <v>4383</v>
      </c>
      <c r="I19" s="23">
        <f>H19*(1+Assumptions!C60)</f>
        <v>5478.75</v>
      </c>
      <c r="J19" s="14">
        <f>I19*(1+Assumptions!D60)</f>
        <v>6574.5</v>
      </c>
      <c r="K19" s="14">
        <f>J19*(1+Assumptions!E60)</f>
        <v>7757.91</v>
      </c>
    </row>
    <row r="20" spans="1:13" x14ac:dyDescent="0.3">
      <c r="A20" s="8" t="s">
        <v>50</v>
      </c>
      <c r="B20" s="7" t="s">
        <v>102</v>
      </c>
      <c r="C20" s="10">
        <f>C15+C17+C18+C19</f>
        <v>4598</v>
      </c>
      <c r="D20" s="10">
        <f t="shared" ref="D20:I20" si="8">D15+D17+D18+D19</f>
        <v>8251</v>
      </c>
      <c r="E20" s="10">
        <f t="shared" si="8"/>
        <v>11190</v>
      </c>
      <c r="F20" s="10">
        <f t="shared" si="8"/>
        <v>11454</v>
      </c>
      <c r="G20" s="10">
        <f t="shared" si="8"/>
        <v>12063</v>
      </c>
      <c r="H20" s="10">
        <f t="shared" si="8"/>
        <v>12777</v>
      </c>
      <c r="I20" s="22">
        <f t="shared" si="8"/>
        <v>13648.15</v>
      </c>
      <c r="J20" s="27">
        <f t="shared" ref="J20" si="9">J15+J17+J18+J19</f>
        <v>14515.57</v>
      </c>
      <c r="K20" s="27">
        <f t="shared" ref="K20" si="10">K15+K17+K18+K19</f>
        <v>15494.153119999999</v>
      </c>
      <c r="L20" s="27"/>
    </row>
    <row r="22" spans="1:13" x14ac:dyDescent="0.3">
      <c r="A22" s="8" t="s">
        <v>51</v>
      </c>
      <c r="B22" s="7" t="s">
        <v>102</v>
      </c>
      <c r="C22" s="10">
        <f>C20-C12</f>
        <v>0</v>
      </c>
      <c r="D22" s="10">
        <f t="shared" ref="D22:K22" si="11">D20-D12</f>
        <v>0</v>
      </c>
      <c r="E22" s="10">
        <f t="shared" si="11"/>
        <v>0</v>
      </c>
      <c r="F22" s="10">
        <f t="shared" si="11"/>
        <v>1</v>
      </c>
      <c r="G22" s="10">
        <f t="shared" si="11"/>
        <v>-1</v>
      </c>
      <c r="H22" s="10">
        <f t="shared" si="11"/>
        <v>0</v>
      </c>
      <c r="I22" s="22">
        <f t="shared" si="11"/>
        <v>184.51499999999942</v>
      </c>
      <c r="J22" s="27">
        <f t="shared" si="11"/>
        <v>-2.5434999999997672</v>
      </c>
      <c r="K22" s="27">
        <f t="shared" si="11"/>
        <v>-393.87203199999931</v>
      </c>
    </row>
    <row r="24" spans="1:13" x14ac:dyDescent="0.3">
      <c r="A24" s="6" t="s">
        <v>52</v>
      </c>
    </row>
    <row r="25" spans="1:13" x14ac:dyDescent="0.3">
      <c r="A25" s="7" t="s">
        <v>53</v>
      </c>
      <c r="B25" s="7" t="s">
        <v>62</v>
      </c>
      <c r="C25" s="16">
        <f t="shared" ref="C25:I25" si="12">C10/C8</f>
        <v>0.41113490364025695</v>
      </c>
      <c r="D25" s="16">
        <f t="shared" si="12"/>
        <v>0.18499244586201108</v>
      </c>
      <c r="E25" s="16">
        <f t="shared" si="12"/>
        <v>0.10057753078348045</v>
      </c>
      <c r="F25" s="16">
        <f t="shared" si="12"/>
        <v>0.12782941498086386</v>
      </c>
      <c r="G25" s="16">
        <f t="shared" si="12"/>
        <v>0.15074737623237569</v>
      </c>
      <c r="H25" s="16">
        <f t="shared" si="12"/>
        <v>0.15102714978837617</v>
      </c>
      <c r="I25" s="23">
        <f t="shared" si="12"/>
        <v>0.14327777035109909</v>
      </c>
      <c r="J25" s="14">
        <f t="shared" ref="J25:K25" si="13">J10/J8</f>
        <v>0.13196296900805024</v>
      </c>
      <c r="K25" s="14">
        <f t="shared" si="13"/>
        <v>0.11933614045390042</v>
      </c>
    </row>
    <row r="26" spans="1:13" x14ac:dyDescent="0.3">
      <c r="A26" s="7" t="s">
        <v>55</v>
      </c>
      <c r="B26" s="7" t="s">
        <v>102</v>
      </c>
      <c r="C26" s="12">
        <v>277</v>
      </c>
      <c r="D26" s="12">
        <v>229</v>
      </c>
      <c r="E26" s="12">
        <v>645</v>
      </c>
      <c r="F26" s="12">
        <v>403</v>
      </c>
      <c r="G26" s="12">
        <v>336</v>
      </c>
      <c r="H26" s="12">
        <v>244</v>
      </c>
      <c r="I26" s="23">
        <f>H26+'Cash Flow'!I11</f>
        <v>725.37249999999972</v>
      </c>
      <c r="J26" s="14">
        <f>I26+'Cash Flow'!J11</f>
        <v>1558.6159999999998</v>
      </c>
      <c r="K26" s="14">
        <f>J26+'Cash Flow'!K11</f>
        <v>2662.9854319999995</v>
      </c>
      <c r="L26" s="14"/>
      <c r="M26" s="14"/>
    </row>
    <row r="27" spans="1:13" x14ac:dyDescent="0.3">
      <c r="A27" s="7" t="s">
        <v>54</v>
      </c>
      <c r="B27" s="7" t="s">
        <v>102</v>
      </c>
      <c r="C27" s="10">
        <f t="shared" ref="C27:I27" si="14">C10-C26</f>
        <v>875</v>
      </c>
      <c r="D27" s="10">
        <f t="shared" si="14"/>
        <v>873</v>
      </c>
      <c r="E27" s="10">
        <f t="shared" si="14"/>
        <v>278</v>
      </c>
      <c r="F27" s="10">
        <f t="shared" si="14"/>
        <v>766</v>
      </c>
      <c r="G27" s="10">
        <f t="shared" si="14"/>
        <v>1086</v>
      </c>
      <c r="H27" s="10">
        <f t="shared" si="14"/>
        <v>1219</v>
      </c>
      <c r="I27" s="22">
        <f t="shared" si="14"/>
        <v>737.62750000000028</v>
      </c>
      <c r="J27" s="27">
        <f t="shared" ref="J27:K27" si="15">J10-J26</f>
        <v>-95.615999999999758</v>
      </c>
      <c r="K27" s="27">
        <f t="shared" si="15"/>
        <v>-1199.9854319999995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050C-1B1A-4FE6-ADF5-E541469A51F6}">
  <sheetPr>
    <tabColor rgb="FF00B050"/>
  </sheetPr>
  <dimension ref="A3:K19"/>
  <sheetViews>
    <sheetView zoomScaleNormal="100" workbookViewId="0"/>
  </sheetViews>
  <sheetFormatPr defaultRowHeight="14.4" x14ac:dyDescent="0.3"/>
  <cols>
    <col min="1" max="1" width="32" customWidth="1"/>
    <col min="3" max="3" width="9.6640625" bestFit="1" customWidth="1"/>
    <col min="4" max="5" width="9" bestFit="1" customWidth="1"/>
    <col min="6" max="8" width="10" bestFit="1" customWidth="1"/>
    <col min="9" max="9" width="8.88671875" style="13"/>
  </cols>
  <sheetData>
    <row r="3" spans="1:11" x14ac:dyDescent="0.3">
      <c r="B3" s="7" t="s">
        <v>38</v>
      </c>
      <c r="C3" s="7" t="s">
        <v>23</v>
      </c>
      <c r="D3" s="7" t="s">
        <v>24</v>
      </c>
      <c r="E3" s="7" t="s">
        <v>25</v>
      </c>
      <c r="F3" s="7" t="s">
        <v>26</v>
      </c>
      <c r="G3" s="7" t="s">
        <v>27</v>
      </c>
      <c r="H3" s="7" t="s">
        <v>28</v>
      </c>
      <c r="I3" s="13" t="s">
        <v>29</v>
      </c>
      <c r="J3" t="s">
        <v>30</v>
      </c>
      <c r="K3" t="s">
        <v>31</v>
      </c>
    </row>
    <row r="5" spans="1:11" x14ac:dyDescent="0.3">
      <c r="A5" s="6" t="s">
        <v>63</v>
      </c>
    </row>
    <row r="6" spans="1:11" x14ac:dyDescent="0.3">
      <c r="A6" s="7" t="s">
        <v>64</v>
      </c>
      <c r="B6" s="7" t="s">
        <v>102</v>
      </c>
      <c r="C6" s="12">
        <v>5</v>
      </c>
      <c r="D6" s="12">
        <v>-241</v>
      </c>
      <c r="E6" s="12">
        <v>-30</v>
      </c>
      <c r="F6" s="12">
        <v>472</v>
      </c>
      <c r="G6" s="12">
        <v>567</v>
      </c>
      <c r="H6" s="12">
        <v>911</v>
      </c>
      <c r="I6" s="23">
        <f>'Income Statement'!I15-'Income Statement'!I25-'Income Statement'!I22+I17</f>
        <v>1006.7724999999997</v>
      </c>
      <c r="J6" s="14">
        <f>'Income Statement'!J15-'Income Statement'!J25-'Income Statement'!J22+J17</f>
        <v>1384.9135000000001</v>
      </c>
      <c r="K6" s="14">
        <f>'Income Statement'!K15-'Income Statement'!K25-'Income Statement'!K22+K17</f>
        <v>1699.5425519999994</v>
      </c>
    </row>
    <row r="7" spans="1:11" x14ac:dyDescent="0.3">
      <c r="A7" s="7" t="s">
        <v>65</v>
      </c>
      <c r="B7" s="7" t="s">
        <v>102</v>
      </c>
      <c r="C7" s="12">
        <v>338</v>
      </c>
      <c r="D7" s="9">
        <v>-2742</v>
      </c>
      <c r="E7" s="9">
        <v>-3408</v>
      </c>
      <c r="F7" s="12">
        <v>-99</v>
      </c>
      <c r="G7" s="12">
        <v>-102</v>
      </c>
      <c r="H7" s="12">
        <v>-474</v>
      </c>
      <c r="I7" s="13">
        <f>-I15</f>
        <v>-525.4</v>
      </c>
      <c r="J7">
        <f t="shared" ref="J7:K7" si="0">-J15</f>
        <v>-551.67000000000007</v>
      </c>
      <c r="K7">
        <f t="shared" si="0"/>
        <v>-595.17312000000004</v>
      </c>
    </row>
    <row r="8" spans="1:11" x14ac:dyDescent="0.3">
      <c r="A8" s="7" t="s">
        <v>66</v>
      </c>
      <c r="B8" s="7" t="s">
        <v>102</v>
      </c>
      <c r="C8" s="12">
        <v>-147</v>
      </c>
      <c r="D8" s="9">
        <v>2902</v>
      </c>
      <c r="E8" s="9">
        <v>3538</v>
      </c>
      <c r="F8" s="12">
        <v>-366</v>
      </c>
      <c r="G8" s="12">
        <v>-432</v>
      </c>
      <c r="H8" s="12">
        <v>-532</v>
      </c>
      <c r="I8" s="23">
        <f>-Assumptions!C66*'Income Statement'!I6</f>
        <v>-630.48</v>
      </c>
      <c r="J8" s="14">
        <f>-Assumptions!D66*'Income Statement'!J6</f>
        <v>-756.57600000000002</v>
      </c>
      <c r="K8" s="14">
        <f>-Assumptions!E66*'Income Statement'!K6</f>
        <v>-892.75968</v>
      </c>
    </row>
    <row r="10" spans="1:11" x14ac:dyDescent="0.3">
      <c r="A10" s="7" t="s">
        <v>67</v>
      </c>
      <c r="B10" s="7" t="s">
        <v>102</v>
      </c>
      <c r="C10" s="7">
        <f>C6+C7+C8</f>
        <v>196</v>
      </c>
      <c r="D10" s="7">
        <f t="shared" ref="D10:K10" si="1">D6+D7+D8</f>
        <v>-81</v>
      </c>
      <c r="E10" s="7">
        <f t="shared" si="1"/>
        <v>100</v>
      </c>
      <c r="F10" s="7">
        <f t="shared" si="1"/>
        <v>7</v>
      </c>
      <c r="G10" s="7">
        <f t="shared" si="1"/>
        <v>33</v>
      </c>
      <c r="H10" s="7">
        <f t="shared" si="1"/>
        <v>-95</v>
      </c>
      <c r="I10" s="13">
        <f t="shared" si="1"/>
        <v>-149.1075000000003</v>
      </c>
      <c r="J10">
        <f t="shared" si="1"/>
        <v>76.667500000000018</v>
      </c>
      <c r="K10">
        <f t="shared" si="1"/>
        <v>211.6097519999995</v>
      </c>
    </row>
    <row r="11" spans="1:11" x14ac:dyDescent="0.3">
      <c r="A11" s="7" t="s">
        <v>68</v>
      </c>
      <c r="B11" s="7" t="s">
        <v>102</v>
      </c>
      <c r="C11" s="12">
        <v>-244</v>
      </c>
      <c r="D11" s="12">
        <v>-780</v>
      </c>
      <c r="E11" s="12">
        <v>-624</v>
      </c>
      <c r="F11" s="12">
        <v>4</v>
      </c>
      <c r="G11" s="12">
        <v>92</v>
      </c>
      <c r="H11" s="12">
        <v>506</v>
      </c>
      <c r="I11" s="23">
        <f>I6-I15</f>
        <v>481.37249999999972</v>
      </c>
      <c r="J11" s="14">
        <f t="shared" ref="J11:K11" si="2">J6-J15</f>
        <v>833.24350000000004</v>
      </c>
      <c r="K11" s="14">
        <f t="shared" si="2"/>
        <v>1104.3694319999995</v>
      </c>
    </row>
    <row r="12" spans="1:11" x14ac:dyDescent="0.3">
      <c r="A12" s="7" t="s">
        <v>73</v>
      </c>
      <c r="B12" s="7" t="s">
        <v>35</v>
      </c>
      <c r="C12" s="15">
        <v>-0.19</v>
      </c>
      <c r="D12" s="15">
        <v>0.48</v>
      </c>
      <c r="E12" s="15">
        <v>-0.09</v>
      </c>
      <c r="F12" s="15">
        <v>4.0199999999999996</v>
      </c>
      <c r="G12" s="15">
        <v>1.58</v>
      </c>
      <c r="H12" s="15">
        <v>1.46</v>
      </c>
      <c r="I12" s="21">
        <f>I6/'Income Statement'!I19</f>
        <v>2.3296829804466053</v>
      </c>
      <c r="J12" s="5">
        <f>J6/'Income Statement'!J19</f>
        <v>1.5827401972548882</v>
      </c>
      <c r="K12" s="5">
        <f>K6/'Income Statement'!K19</f>
        <v>1.2693541236806183</v>
      </c>
    </row>
    <row r="14" spans="1:11" x14ac:dyDescent="0.3">
      <c r="A14" s="6" t="s">
        <v>69</v>
      </c>
    </row>
    <row r="15" spans="1:11" x14ac:dyDescent="0.3">
      <c r="A15" s="7" t="s">
        <v>70</v>
      </c>
      <c r="B15" s="7" t="s">
        <v>102</v>
      </c>
      <c r="C15" s="12">
        <v>251</v>
      </c>
      <c r="D15" s="12">
        <v>544</v>
      </c>
      <c r="E15" s="12">
        <v>601</v>
      </c>
      <c r="F15" s="12">
        <v>565</v>
      </c>
      <c r="G15" s="12">
        <v>483</v>
      </c>
      <c r="H15" s="12">
        <v>422</v>
      </c>
      <c r="I15" s="13">
        <f>Assumptions!C70*'Income Statement'!I6</f>
        <v>525.4</v>
      </c>
      <c r="J15">
        <f>Assumptions!D70*'Income Statement'!J6</f>
        <v>551.67000000000007</v>
      </c>
      <c r="K15">
        <f>Assumptions!E70*'Income Statement'!K6</f>
        <v>595.17312000000004</v>
      </c>
    </row>
    <row r="16" spans="1:11" x14ac:dyDescent="0.3">
      <c r="A16" s="7" t="s">
        <v>71</v>
      </c>
      <c r="B16" s="7" t="s">
        <v>35</v>
      </c>
      <c r="C16" s="11">
        <f>C15/'Income Statement'!C6</f>
        <v>6.8823690704688786E-2</v>
      </c>
      <c r="D16" s="11">
        <f>D15/'Income Statement'!D6</f>
        <v>7.9046788724208075E-2</v>
      </c>
      <c r="E16" s="11">
        <f>E15/'Income Statement'!E6</f>
        <v>8.3183391003460214E-2</v>
      </c>
      <c r="F16" s="11">
        <f>F15/'Income Statement'!F6</f>
        <v>6.9393269466961435E-2</v>
      </c>
      <c r="G16" s="11">
        <f>G15/'Income Statement'!G6</f>
        <v>5.4075235109717866E-2</v>
      </c>
      <c r="H16" s="11">
        <f>H15/'Income Statement'!H6</f>
        <v>4.0159878188047199E-2</v>
      </c>
      <c r="I16" s="21">
        <f>I15/'Income Statement'!I6</f>
        <v>0.04</v>
      </c>
      <c r="J16" s="5">
        <f>J15/'Income Statement'!J6</f>
        <v>3.5000000000000003E-2</v>
      </c>
      <c r="K16" s="5">
        <f>K15/'Income Statement'!K6</f>
        <v>3.2000000000000001E-2</v>
      </c>
    </row>
    <row r="17" spans="1:11" x14ac:dyDescent="0.3">
      <c r="A17" s="7" t="s">
        <v>111</v>
      </c>
      <c r="B17" s="7" t="s">
        <v>102</v>
      </c>
      <c r="C17" s="12">
        <v>-40</v>
      </c>
      <c r="D17" s="12">
        <v>-495</v>
      </c>
      <c r="E17" s="12">
        <v>64</v>
      </c>
      <c r="F17" s="12">
        <v>15</v>
      </c>
      <c r="G17" s="12">
        <v>-25</v>
      </c>
      <c r="H17" s="12">
        <v>35</v>
      </c>
      <c r="I17" s="23">
        <f>Assumptions!C73*'Income Statement'!I6</f>
        <v>32.837499999999999</v>
      </c>
      <c r="J17" s="14">
        <f>Assumptions!D73*'Income Statement'!J6</f>
        <v>39.405000000000001</v>
      </c>
      <c r="K17" s="14">
        <f>Assumptions!E73*'Income Statement'!K6</f>
        <v>46.497900000000001</v>
      </c>
    </row>
    <row r="18" spans="1:11" x14ac:dyDescent="0.3">
      <c r="A18" s="7" t="s">
        <v>112</v>
      </c>
      <c r="B18" s="7" t="s">
        <v>35</v>
      </c>
      <c r="C18" s="17">
        <f>C17/'Income Statement'!C6</f>
        <v>-1.0967918837400604E-2</v>
      </c>
      <c r="D18" s="17">
        <f>D17/'Income Statement'!D6</f>
        <v>-7.1926765475152574E-2</v>
      </c>
      <c r="E18" s="17">
        <f>E17/'Income Statement'!E6</f>
        <v>8.8581314878892741E-3</v>
      </c>
      <c r="F18" s="17">
        <f>F17/'Income Statement'!F6</f>
        <v>1.8422991893883567E-3</v>
      </c>
      <c r="G18" s="17">
        <f>G17/'Income Statement'!G6</f>
        <v>-2.7989252127183163E-3</v>
      </c>
      <c r="H18" s="17">
        <f>H17/'Income Statement'!H6</f>
        <v>3.330795584316711E-3</v>
      </c>
      <c r="I18" s="28">
        <f>I17/'Income Statement'!I6</f>
        <v>2.5000000000000001E-3</v>
      </c>
      <c r="J18" s="30">
        <f>J17/'Income Statement'!J6</f>
        <v>2.5000000000000001E-3</v>
      </c>
      <c r="K18" s="30">
        <f>K17/'Income Statement'!K6</f>
        <v>2.5000000000000001E-3</v>
      </c>
    </row>
    <row r="19" spans="1:11" x14ac:dyDescent="0.3">
      <c r="A19" s="7" t="s">
        <v>72</v>
      </c>
      <c r="B19" s="7" t="s">
        <v>35</v>
      </c>
      <c r="C19" s="11">
        <f>C11/'Income Statement'!C6</f>
        <v>-6.6904304908143683E-2</v>
      </c>
      <c r="D19" s="11">
        <f>D11/'Income Statement'!D6</f>
        <v>-0.11333914559721012</v>
      </c>
      <c r="E19" s="11">
        <f>E11/'Income Statement'!E6</f>
        <v>-8.6366782006920412E-2</v>
      </c>
      <c r="F19" s="11">
        <f>F11/'Income Statement'!F6</f>
        <v>4.9127978383689509E-4</v>
      </c>
      <c r="G19" s="11">
        <f>G11/'Income Statement'!G6</f>
        <v>1.0300044782803403E-2</v>
      </c>
      <c r="H19" s="11">
        <f>H11/'Income Statement'!H6</f>
        <v>4.815378759040731E-2</v>
      </c>
      <c r="I19" s="21">
        <f>I11/'Income Statement'!I6</f>
        <v>3.664807765511989E-2</v>
      </c>
      <c r="J19" s="5">
        <f>J11/'Income Statement'!J6</f>
        <v>5.2864071818297172E-2</v>
      </c>
      <c r="K19" s="5">
        <f>K11/'Income Statement'!K6</f>
        <v>5.9377382204357593E-2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9D2B-8AA0-455E-9254-E676A7475872}">
  <sheetPr>
    <tabColor rgb="FF00B050"/>
  </sheetPr>
  <dimension ref="A3:H22"/>
  <sheetViews>
    <sheetView workbookViewId="0"/>
  </sheetViews>
  <sheetFormatPr defaultRowHeight="14.4" x14ac:dyDescent="0.3"/>
  <cols>
    <col min="2" max="2" width="26" bestFit="1" customWidth="1"/>
    <col min="3" max="3" width="20.5546875" bestFit="1" customWidth="1"/>
    <col min="4" max="4" width="19.5546875" bestFit="1" customWidth="1"/>
    <col min="5" max="5" width="26.6640625" bestFit="1" customWidth="1"/>
    <col min="6" max="6" width="25.6640625" bestFit="1" customWidth="1"/>
    <col min="7" max="7" width="19.109375" bestFit="1" customWidth="1"/>
    <col min="8" max="8" width="16.33203125" bestFit="1" customWidth="1"/>
  </cols>
  <sheetData>
    <row r="3" spans="1:8" x14ac:dyDescent="0.3">
      <c r="A3" s="6" t="s">
        <v>188</v>
      </c>
      <c r="B3" s="6"/>
    </row>
    <row r="5" spans="1:8" x14ac:dyDescent="0.3">
      <c r="A5" s="3" t="s">
        <v>189</v>
      </c>
      <c r="B5" s="3" t="s">
        <v>190</v>
      </c>
      <c r="C5" s="3" t="s">
        <v>191</v>
      </c>
      <c r="D5" s="3" t="s">
        <v>192</v>
      </c>
      <c r="E5" s="3" t="s">
        <v>193</v>
      </c>
      <c r="F5" s="3" t="s">
        <v>194</v>
      </c>
      <c r="G5" s="3" t="s">
        <v>195</v>
      </c>
      <c r="H5" s="3" t="s">
        <v>196</v>
      </c>
    </row>
    <row r="6" spans="1:8" x14ac:dyDescent="0.3">
      <c r="A6" t="s">
        <v>197</v>
      </c>
      <c r="B6">
        <v>152</v>
      </c>
      <c r="C6">
        <v>69.14</v>
      </c>
      <c r="D6">
        <v>-0.39</v>
      </c>
      <c r="E6">
        <v>1051</v>
      </c>
      <c r="F6">
        <v>-6</v>
      </c>
      <c r="G6">
        <v>1746</v>
      </c>
      <c r="H6">
        <v>-217</v>
      </c>
    </row>
    <row r="7" spans="1:8" x14ac:dyDescent="0.3">
      <c r="A7" t="s">
        <v>198</v>
      </c>
      <c r="B7">
        <v>161</v>
      </c>
      <c r="C7">
        <v>69.88</v>
      </c>
      <c r="D7">
        <v>5.34</v>
      </c>
      <c r="E7">
        <v>1125</v>
      </c>
      <c r="F7">
        <v>86</v>
      </c>
      <c r="G7">
        <v>1796</v>
      </c>
      <c r="H7">
        <v>-125</v>
      </c>
    </row>
    <row r="8" spans="1:8" x14ac:dyDescent="0.3">
      <c r="A8" t="s">
        <v>199</v>
      </c>
      <c r="B8">
        <v>170</v>
      </c>
      <c r="C8">
        <v>70.59</v>
      </c>
      <c r="D8">
        <v>8.18</v>
      </c>
      <c r="E8">
        <v>1200</v>
      </c>
      <c r="F8">
        <v>139</v>
      </c>
      <c r="G8">
        <v>1822</v>
      </c>
      <c r="H8">
        <v>-67</v>
      </c>
    </row>
    <row r="9" spans="1:8" x14ac:dyDescent="0.3">
      <c r="A9" t="s">
        <v>200</v>
      </c>
      <c r="B9">
        <v>180</v>
      </c>
      <c r="C9">
        <v>65.39</v>
      </c>
      <c r="D9">
        <v>11.39</v>
      </c>
      <c r="E9">
        <v>1177</v>
      </c>
      <c r="F9">
        <v>205</v>
      </c>
      <c r="G9">
        <v>1860</v>
      </c>
      <c r="H9">
        <v>6</v>
      </c>
    </row>
    <row r="10" spans="1:8" x14ac:dyDescent="0.3">
      <c r="A10" t="s">
        <v>201</v>
      </c>
      <c r="B10">
        <v>182</v>
      </c>
      <c r="C10">
        <v>66.040000000000006</v>
      </c>
      <c r="D10">
        <v>11.92</v>
      </c>
      <c r="E10">
        <v>1202</v>
      </c>
      <c r="F10">
        <v>217</v>
      </c>
      <c r="G10">
        <v>1930</v>
      </c>
      <c r="H10">
        <v>-25</v>
      </c>
    </row>
    <row r="11" spans="1:8" x14ac:dyDescent="0.3">
      <c r="A11" t="s">
        <v>202</v>
      </c>
      <c r="B11">
        <v>181</v>
      </c>
      <c r="C11">
        <v>66.849999999999994</v>
      </c>
      <c r="D11">
        <v>11.22</v>
      </c>
      <c r="E11">
        <v>1210</v>
      </c>
      <c r="F11">
        <v>203</v>
      </c>
      <c r="G11">
        <v>1942</v>
      </c>
      <c r="H11">
        <v>-13</v>
      </c>
    </row>
    <row r="12" spans="1:8" x14ac:dyDescent="0.3">
      <c r="A12" t="s">
        <v>203</v>
      </c>
      <c r="B12">
        <v>201</v>
      </c>
      <c r="C12">
        <v>72.040000000000006</v>
      </c>
      <c r="D12">
        <v>14.88</v>
      </c>
      <c r="E12">
        <v>1448</v>
      </c>
      <c r="F12">
        <v>299</v>
      </c>
      <c r="G12">
        <v>2194</v>
      </c>
      <c r="H12">
        <v>92</v>
      </c>
    </row>
    <row r="13" spans="1:8" x14ac:dyDescent="0.3">
      <c r="A13" t="s">
        <v>204</v>
      </c>
      <c r="B13">
        <v>176</v>
      </c>
      <c r="C13">
        <v>69.150000000000006</v>
      </c>
      <c r="D13">
        <v>12.16</v>
      </c>
      <c r="E13">
        <v>1217</v>
      </c>
      <c r="F13">
        <v>214</v>
      </c>
      <c r="G13">
        <v>2076</v>
      </c>
      <c r="H13">
        <v>21</v>
      </c>
    </row>
    <row r="14" spans="1:8" x14ac:dyDescent="0.3">
      <c r="A14" t="s">
        <v>205</v>
      </c>
      <c r="B14">
        <v>183</v>
      </c>
      <c r="C14">
        <v>69.73</v>
      </c>
      <c r="D14">
        <v>12.68</v>
      </c>
      <c r="E14">
        <v>1276</v>
      </c>
      <c r="F14">
        <v>232</v>
      </c>
      <c r="G14">
        <v>2172</v>
      </c>
      <c r="H14">
        <v>37</v>
      </c>
    </row>
    <row r="15" spans="1:8" x14ac:dyDescent="0.3">
      <c r="A15" t="s">
        <v>206</v>
      </c>
      <c r="B15">
        <v>185</v>
      </c>
      <c r="C15">
        <v>70.16</v>
      </c>
      <c r="D15">
        <v>10.59</v>
      </c>
      <c r="E15">
        <v>1298</v>
      </c>
      <c r="F15">
        <v>196</v>
      </c>
      <c r="G15">
        <v>2190</v>
      </c>
      <c r="H15">
        <v>10</v>
      </c>
    </row>
    <row r="16" spans="1:8" x14ac:dyDescent="0.3">
      <c r="A16" t="s">
        <v>207</v>
      </c>
      <c r="B16">
        <v>206</v>
      </c>
      <c r="C16">
        <v>72.23</v>
      </c>
      <c r="D16">
        <v>11.26</v>
      </c>
      <c r="E16">
        <v>1488</v>
      </c>
      <c r="F16">
        <v>232</v>
      </c>
      <c r="G16">
        <v>2378</v>
      </c>
      <c r="H16">
        <v>45</v>
      </c>
    </row>
    <row r="17" spans="1:8" x14ac:dyDescent="0.3">
      <c r="A17" t="s">
        <v>208</v>
      </c>
      <c r="B17">
        <v>177</v>
      </c>
      <c r="C17">
        <v>70.959999999999994</v>
      </c>
      <c r="D17">
        <v>11.3</v>
      </c>
      <c r="E17">
        <v>1256</v>
      </c>
      <c r="F17">
        <v>200</v>
      </c>
      <c r="G17">
        <v>2192</v>
      </c>
      <c r="H17">
        <v>55</v>
      </c>
    </row>
    <row r="18" spans="1:8" x14ac:dyDescent="0.3">
      <c r="A18" t="s">
        <v>209</v>
      </c>
      <c r="B18">
        <v>208</v>
      </c>
      <c r="C18">
        <v>67.45</v>
      </c>
      <c r="D18">
        <v>10.96</v>
      </c>
      <c r="E18">
        <v>1403</v>
      </c>
      <c r="F18">
        <v>228</v>
      </c>
      <c r="G18">
        <v>2294</v>
      </c>
      <c r="H18">
        <v>75</v>
      </c>
    </row>
    <row r="19" spans="1:8" x14ac:dyDescent="0.3">
      <c r="A19" t="s">
        <v>210</v>
      </c>
      <c r="B19">
        <v>246</v>
      </c>
      <c r="C19">
        <v>65.489999999999995</v>
      </c>
      <c r="D19">
        <v>10</v>
      </c>
      <c r="E19">
        <v>1611</v>
      </c>
      <c r="F19">
        <v>246</v>
      </c>
      <c r="G19">
        <v>2546</v>
      </c>
      <c r="H19">
        <v>83</v>
      </c>
    </row>
    <row r="20" spans="1:8" x14ac:dyDescent="0.3">
      <c r="A20" t="s">
        <v>211</v>
      </c>
      <c r="B20">
        <v>295</v>
      </c>
      <c r="C20">
        <v>62.34</v>
      </c>
      <c r="D20">
        <v>11.25</v>
      </c>
      <c r="E20">
        <v>1839</v>
      </c>
      <c r="F20">
        <v>332</v>
      </c>
      <c r="G20">
        <v>2798</v>
      </c>
      <c r="H20">
        <v>147</v>
      </c>
    </row>
    <row r="21" spans="1:8" x14ac:dyDescent="0.3">
      <c r="A21" t="s">
        <v>212</v>
      </c>
      <c r="B21">
        <v>306</v>
      </c>
      <c r="C21">
        <v>59.87</v>
      </c>
      <c r="D21">
        <v>11.27</v>
      </c>
      <c r="E21">
        <v>1832</v>
      </c>
      <c r="F21">
        <v>345</v>
      </c>
      <c r="G21">
        <v>2848</v>
      </c>
      <c r="H21">
        <v>151</v>
      </c>
    </row>
    <row r="22" spans="1:8" x14ac:dyDescent="0.3">
      <c r="A22" t="s">
        <v>213</v>
      </c>
      <c r="B22">
        <v>322</v>
      </c>
      <c r="C22">
        <v>58.04</v>
      </c>
      <c r="D22">
        <v>9.07</v>
      </c>
      <c r="E22">
        <v>1869</v>
      </c>
      <c r="F22">
        <v>292</v>
      </c>
      <c r="G22">
        <v>2931</v>
      </c>
      <c r="H22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010B-E361-4B56-B354-54E4026623B6}">
  <sheetPr>
    <tabColor rgb="FFFFC000"/>
  </sheetPr>
  <dimension ref="A3:H31"/>
  <sheetViews>
    <sheetView topLeftCell="A6" workbookViewId="0">
      <selection activeCell="D19" sqref="D19"/>
    </sheetView>
  </sheetViews>
  <sheetFormatPr defaultRowHeight="14.4" x14ac:dyDescent="0.3"/>
  <cols>
    <col min="1" max="1" width="42.21875" bestFit="1" customWidth="1"/>
    <col min="3" max="3" width="9" bestFit="1" customWidth="1"/>
    <col min="4" max="4" width="10.109375" bestFit="1" customWidth="1"/>
    <col min="5" max="5" width="10.33203125" bestFit="1" customWidth="1"/>
    <col min="6" max="6" width="9.6640625" bestFit="1" customWidth="1"/>
    <col min="7" max="7" width="10" bestFit="1" customWidth="1"/>
  </cols>
  <sheetData>
    <row r="3" spans="1:7" x14ac:dyDescent="0.3">
      <c r="A3" s="6" t="s">
        <v>121</v>
      </c>
    </row>
    <row r="4" spans="1:7" x14ac:dyDescent="0.3">
      <c r="B4" t="s">
        <v>34</v>
      </c>
      <c r="C4" s="3" t="s">
        <v>124</v>
      </c>
      <c r="D4" s="3" t="s">
        <v>125</v>
      </c>
      <c r="E4" s="3" t="s">
        <v>127</v>
      </c>
      <c r="F4" s="3" t="s">
        <v>126</v>
      </c>
      <c r="G4" s="3" t="s">
        <v>128</v>
      </c>
    </row>
    <row r="6" spans="1:7" x14ac:dyDescent="0.3">
      <c r="A6" t="s">
        <v>129</v>
      </c>
      <c r="B6" t="s">
        <v>102</v>
      </c>
      <c r="C6" s="34">
        <v>6141</v>
      </c>
      <c r="D6" s="34">
        <v>4080</v>
      </c>
      <c r="E6" s="34">
        <v>1236</v>
      </c>
      <c r="F6" s="34">
        <v>2024</v>
      </c>
      <c r="G6" s="25">
        <f>'Income Statement'!H6</f>
        <v>10508</v>
      </c>
    </row>
    <row r="7" spans="1:7" x14ac:dyDescent="0.3">
      <c r="A7" t="s">
        <v>130</v>
      </c>
      <c r="B7" t="s">
        <v>102</v>
      </c>
      <c r="C7" s="34">
        <v>951</v>
      </c>
      <c r="D7" s="34">
        <v>214</v>
      </c>
      <c r="E7" s="34">
        <v>132</v>
      </c>
      <c r="F7" s="34">
        <v>-67</v>
      </c>
      <c r="G7" s="35">
        <f>'Income Statement'!H15</f>
        <v>640</v>
      </c>
    </row>
    <row r="8" spans="1:7" x14ac:dyDescent="0.3">
      <c r="A8" t="s">
        <v>131</v>
      </c>
      <c r="B8" t="s">
        <v>35</v>
      </c>
      <c r="C8" s="5">
        <f>C7/C6</f>
        <v>0.15486077186126038</v>
      </c>
      <c r="D8" s="5">
        <f>D7/D6</f>
        <v>5.2450980392156864E-2</v>
      </c>
      <c r="E8" s="5">
        <f t="shared" ref="E8:G8" si="0">E7/E6</f>
        <v>0.10679611650485436</v>
      </c>
      <c r="F8" s="5">
        <f>F7/F6</f>
        <v>-3.3102766798418976E-2</v>
      </c>
      <c r="G8" s="5">
        <f t="shared" si="0"/>
        <v>6.0905976398934143E-2</v>
      </c>
    </row>
    <row r="9" spans="1:7" x14ac:dyDescent="0.3">
      <c r="A9" t="s">
        <v>132</v>
      </c>
      <c r="B9" t="s">
        <v>102</v>
      </c>
      <c r="C9" s="34">
        <v>247</v>
      </c>
      <c r="D9" s="34">
        <v>115</v>
      </c>
      <c r="E9" s="34">
        <v>90</v>
      </c>
      <c r="F9" s="34">
        <v>-79</v>
      </c>
      <c r="G9" s="25">
        <f>'Income Statement'!H26</f>
        <v>153.69</v>
      </c>
    </row>
    <row r="10" spans="1:7" x14ac:dyDescent="0.3">
      <c r="A10" t="s">
        <v>133</v>
      </c>
      <c r="B10" t="s">
        <v>101</v>
      </c>
      <c r="C10" s="34">
        <v>104.26</v>
      </c>
      <c r="D10" s="34">
        <v>1.98</v>
      </c>
      <c r="E10" s="34">
        <v>23.38</v>
      </c>
      <c r="F10" s="34">
        <v>-1.25</v>
      </c>
      <c r="G10" s="25">
        <f>'Income Statement'!H28</f>
        <v>2.04</v>
      </c>
    </row>
    <row r="11" spans="1:7" x14ac:dyDescent="0.3">
      <c r="A11" t="s">
        <v>122</v>
      </c>
      <c r="B11" t="s">
        <v>35</v>
      </c>
      <c r="C11" s="5">
        <f>C6/5720-1</f>
        <v>7.3601398601398582E-2</v>
      </c>
      <c r="D11" s="5">
        <f>D6/2467-1</f>
        <v>0.65383056343737334</v>
      </c>
      <c r="E11" s="5">
        <f>E6/1208-1</f>
        <v>2.3178807947019875E-2</v>
      </c>
      <c r="F11" s="5">
        <f>2024/1632-1</f>
        <v>0.24019607843137258</v>
      </c>
      <c r="G11" s="5">
        <f>'Income Statement'!H7</f>
        <v>0.17644424540976264</v>
      </c>
    </row>
    <row r="12" spans="1:7" x14ac:dyDescent="0.3">
      <c r="A12" t="s">
        <v>97</v>
      </c>
      <c r="B12" t="s">
        <v>102</v>
      </c>
      <c r="C12" s="34">
        <v>11485</v>
      </c>
      <c r="D12" s="34">
        <v>14750</v>
      </c>
      <c r="E12" s="34">
        <f>2021</f>
        <v>2021</v>
      </c>
      <c r="F12" s="34">
        <v>9644</v>
      </c>
      <c r="G12" s="25">
        <f>Assumptions!C9</f>
        <v>34497.377941176463</v>
      </c>
    </row>
    <row r="13" spans="1:7" x14ac:dyDescent="0.3">
      <c r="A13" t="s">
        <v>123</v>
      </c>
      <c r="B13" t="s">
        <v>102</v>
      </c>
      <c r="C13" s="34">
        <v>1142</v>
      </c>
      <c r="D13" s="34">
        <v>234</v>
      </c>
      <c r="E13" s="34">
        <v>30</v>
      </c>
      <c r="F13" s="34">
        <v>345</v>
      </c>
      <c r="G13" s="35">
        <f>'Balance Sheet'!H10</f>
        <v>1463</v>
      </c>
    </row>
    <row r="14" spans="1:7" x14ac:dyDescent="0.3">
      <c r="A14" t="s">
        <v>55</v>
      </c>
      <c r="B14" t="s">
        <v>102</v>
      </c>
      <c r="C14" s="34">
        <v>239</v>
      </c>
      <c r="D14" s="34">
        <v>673</v>
      </c>
      <c r="E14" s="34">
        <v>15</v>
      </c>
      <c r="F14" s="34">
        <v>188</v>
      </c>
      <c r="G14" s="34">
        <f>'Balance Sheet'!H26</f>
        <v>244</v>
      </c>
    </row>
    <row r="15" spans="1:7" x14ac:dyDescent="0.3">
      <c r="A15" t="s">
        <v>113</v>
      </c>
      <c r="B15" t="s">
        <v>102</v>
      </c>
      <c r="C15">
        <f>C12+C13-C14</f>
        <v>12388</v>
      </c>
      <c r="D15">
        <f>D12+D13-D14</f>
        <v>14311</v>
      </c>
      <c r="E15">
        <f t="shared" ref="E15:G15" si="1">E12+E13-E14</f>
        <v>2036</v>
      </c>
      <c r="F15">
        <f>F12+F13-F14</f>
        <v>9801</v>
      </c>
      <c r="G15">
        <f t="shared" si="1"/>
        <v>35716.377941176463</v>
      </c>
    </row>
    <row r="16" spans="1:7" x14ac:dyDescent="0.3">
      <c r="A16" t="s">
        <v>137</v>
      </c>
      <c r="B16" t="s">
        <v>62</v>
      </c>
      <c r="C16" s="14">
        <f>C12/C9</f>
        <v>46.497975708502025</v>
      </c>
      <c r="D16" s="14">
        <f>D12/D9</f>
        <v>128.2608695652174</v>
      </c>
      <c r="E16" s="14">
        <f t="shared" ref="E16:G16" si="2">E12/E9</f>
        <v>22.455555555555556</v>
      </c>
      <c r="F16" s="14">
        <f>F12/F9</f>
        <v>-122.07594936708861</v>
      </c>
      <c r="G16" s="14">
        <f t="shared" si="2"/>
        <v>224.46078431372544</v>
      </c>
    </row>
    <row r="17" spans="1:8" x14ac:dyDescent="0.3">
      <c r="A17" t="s">
        <v>117</v>
      </c>
      <c r="B17" t="s">
        <v>62</v>
      </c>
      <c r="C17" s="14">
        <f>C15/C7</f>
        <v>13.026288117770768</v>
      </c>
      <c r="D17" s="14">
        <f>D15/D7</f>
        <v>66.873831775700936</v>
      </c>
      <c r="E17" s="14">
        <f t="shared" ref="E17:G17" si="3">E15/E7</f>
        <v>15.424242424242424</v>
      </c>
      <c r="F17" s="14">
        <f>F15/F7</f>
        <v>-146.28358208955223</v>
      </c>
      <c r="G17" s="14">
        <f t="shared" si="3"/>
        <v>55.80684053308822</v>
      </c>
      <c r="H17" s="14"/>
    </row>
    <row r="18" spans="1:8" x14ac:dyDescent="0.3">
      <c r="A18" t="s">
        <v>134</v>
      </c>
      <c r="B18" t="s">
        <v>62</v>
      </c>
      <c r="C18" s="14">
        <f>C12/(C9*(1+C11))</f>
        <v>43.310278627687929</v>
      </c>
      <c r="D18" s="14">
        <f t="shared" ref="D18:F18" si="4">D12/(D9*(1+D11))</f>
        <v>77.553815004262574</v>
      </c>
      <c r="E18" s="14">
        <f t="shared" si="4"/>
        <v>21.946853649766272</v>
      </c>
      <c r="F18" s="14">
        <f t="shared" si="4"/>
        <v>-98.432781307850092</v>
      </c>
      <c r="G18" s="14">
        <f>'Scenario Summary'!C46</f>
        <v>65.842858257563407</v>
      </c>
    </row>
    <row r="19" spans="1:8" x14ac:dyDescent="0.3">
      <c r="A19" t="s">
        <v>214</v>
      </c>
      <c r="B19" t="s">
        <v>35</v>
      </c>
      <c r="C19" s="14">
        <f>C18/C11/100</f>
        <v>5.8844369061846793</v>
      </c>
      <c r="D19" s="14">
        <f t="shared" ref="D19:G19" si="5">D18/D11/100</f>
        <v>1.1861454532890003</v>
      </c>
      <c r="E19" s="14">
        <f t="shared" si="5"/>
        <v>9.4684997174705874</v>
      </c>
      <c r="F19" s="14">
        <f t="shared" si="5"/>
        <v>-4.0980178340411051</v>
      </c>
      <c r="G19" s="14">
        <f t="shared" si="5"/>
        <v>3.7316523474400789</v>
      </c>
    </row>
    <row r="20" spans="1:8" x14ac:dyDescent="0.3">
      <c r="A20" t="s">
        <v>115</v>
      </c>
      <c r="B20" t="s">
        <v>102</v>
      </c>
      <c r="C20" s="34">
        <v>498</v>
      </c>
      <c r="D20" s="34">
        <v>158</v>
      </c>
      <c r="E20" s="34">
        <v>25</v>
      </c>
      <c r="F20" s="34">
        <v>35</v>
      </c>
      <c r="G20" s="34">
        <f>'Cash Flow'!H11</f>
        <v>506</v>
      </c>
    </row>
    <row r="21" spans="1:8" x14ac:dyDescent="0.3">
      <c r="A21" t="s">
        <v>135</v>
      </c>
      <c r="B21" t="s">
        <v>35</v>
      </c>
      <c r="C21" s="5">
        <f>C20/C12</f>
        <v>4.3360905528950805E-2</v>
      </c>
      <c r="D21" s="5">
        <f t="shared" ref="D21:G21" si="6">D20/D12</f>
        <v>1.0711864406779662E-2</v>
      </c>
      <c r="E21" s="5">
        <f t="shared" si="6"/>
        <v>1.2370113805047007E-2</v>
      </c>
      <c r="F21" s="5">
        <f t="shared" si="6"/>
        <v>3.629199502281211E-3</v>
      </c>
      <c r="G21" s="5">
        <f t="shared" si="6"/>
        <v>1.4667781443065348E-2</v>
      </c>
    </row>
    <row r="22" spans="1:8" x14ac:dyDescent="0.3">
      <c r="A22" t="s">
        <v>136</v>
      </c>
      <c r="B22" t="s">
        <v>35</v>
      </c>
      <c r="C22" s="5">
        <f>C20/C6</f>
        <v>8.1094284318514898E-2</v>
      </c>
      <c r="D22" s="5">
        <f t="shared" ref="D22:G22" si="7">D20/D6</f>
        <v>3.8725490196078433E-2</v>
      </c>
      <c r="E22" s="5">
        <f t="shared" si="7"/>
        <v>2.0226537216828478E-2</v>
      </c>
      <c r="F22" s="5">
        <f t="shared" si="7"/>
        <v>1.7292490118577076E-2</v>
      </c>
      <c r="G22" s="5">
        <f t="shared" si="7"/>
        <v>4.815378759040731E-2</v>
      </c>
    </row>
    <row r="25" spans="1:8" x14ac:dyDescent="0.3">
      <c r="A25" t="s">
        <v>138</v>
      </c>
    </row>
    <row r="26" spans="1:8" x14ac:dyDescent="0.3">
      <c r="A26" t="s">
        <v>139</v>
      </c>
    </row>
    <row r="27" spans="1:8" x14ac:dyDescent="0.3">
      <c r="A27" t="s">
        <v>140</v>
      </c>
    </row>
    <row r="28" spans="1:8" x14ac:dyDescent="0.3">
      <c r="A28" t="s">
        <v>141</v>
      </c>
    </row>
    <row r="29" spans="1:8" x14ac:dyDescent="0.3">
      <c r="A29" t="s">
        <v>142</v>
      </c>
    </row>
    <row r="30" spans="1:8" x14ac:dyDescent="0.3">
      <c r="A30" t="s">
        <v>144</v>
      </c>
    </row>
    <row r="31" spans="1:8" x14ac:dyDescent="0.3">
      <c r="A31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AE4B-33FC-4F9A-BFC7-4C1212A8C060}">
  <sheetPr>
    <tabColor rgb="FFFFC000"/>
  </sheetPr>
  <dimension ref="A3:H102"/>
  <sheetViews>
    <sheetView zoomScaleNormal="118" workbookViewId="0"/>
  </sheetViews>
  <sheetFormatPr defaultRowHeight="14.4" x14ac:dyDescent="0.3"/>
  <cols>
    <col min="1" max="1" width="32.77734375" customWidth="1"/>
    <col min="2" max="2" width="10.44140625" customWidth="1"/>
    <col min="3" max="3" width="9.88671875" customWidth="1"/>
    <col min="4" max="4" width="8.88671875" customWidth="1"/>
    <col min="8" max="8" width="10.109375" customWidth="1"/>
  </cols>
  <sheetData>
    <row r="3" spans="1:8" x14ac:dyDescent="0.3">
      <c r="A3" s="6" t="s">
        <v>145</v>
      </c>
    </row>
    <row r="5" spans="1:8" x14ac:dyDescent="0.3">
      <c r="A5" s="6" t="s">
        <v>146</v>
      </c>
    </row>
    <row r="6" spans="1:8" x14ac:dyDescent="0.3">
      <c r="A6" t="s">
        <v>147</v>
      </c>
      <c r="B6" s="29" t="s">
        <v>35</v>
      </c>
      <c r="C6" s="37">
        <v>0.13</v>
      </c>
    </row>
    <row r="7" spans="1:8" x14ac:dyDescent="0.3">
      <c r="A7" t="s">
        <v>148</v>
      </c>
      <c r="B7" s="29" t="s">
        <v>35</v>
      </c>
      <c r="C7" s="37">
        <v>0.04</v>
      </c>
    </row>
    <row r="8" spans="1:8" x14ac:dyDescent="0.3">
      <c r="A8" t="s">
        <v>149</v>
      </c>
      <c r="B8" t="s">
        <v>101</v>
      </c>
      <c r="C8" s="14">
        <f>'Balance Sheet'!H27</f>
        <v>1219</v>
      </c>
    </row>
    <row r="9" spans="1:8" x14ac:dyDescent="0.3">
      <c r="A9" t="s">
        <v>95</v>
      </c>
      <c r="B9" t="s">
        <v>98</v>
      </c>
      <c r="C9" s="14">
        <f>Assumptions!C8</f>
        <v>753.38235294117635</v>
      </c>
    </row>
    <row r="11" spans="1:8" x14ac:dyDescent="0.3">
      <c r="B11" t="s">
        <v>34</v>
      </c>
      <c r="C11" t="s">
        <v>29</v>
      </c>
      <c r="D11" t="s">
        <v>30</v>
      </c>
      <c r="E11" t="s">
        <v>31</v>
      </c>
      <c r="F11" t="s">
        <v>151</v>
      </c>
      <c r="G11" t="s">
        <v>152</v>
      </c>
      <c r="H11" t="s">
        <v>153</v>
      </c>
    </row>
    <row r="12" spans="1:8" x14ac:dyDescent="0.3">
      <c r="A12" s="6" t="s">
        <v>150</v>
      </c>
    </row>
    <row r="14" spans="1:8" x14ac:dyDescent="0.3">
      <c r="A14" t="s">
        <v>115</v>
      </c>
      <c r="B14" t="s">
        <v>102</v>
      </c>
      <c r="C14" s="14">
        <f>'Scenario Summary'!C38</f>
        <v>481.37249999999972</v>
      </c>
      <c r="D14" s="14">
        <f>'Scenario Summary'!D38</f>
        <v>833.24349999999981</v>
      </c>
      <c r="E14" s="14">
        <f>'Scenario Summary'!E38</f>
        <v>1104.369432</v>
      </c>
      <c r="F14">
        <f>E14*1.15</f>
        <v>1270.0248467999998</v>
      </c>
      <c r="G14">
        <f>F14*1.12</f>
        <v>1422.4278284159998</v>
      </c>
      <c r="H14">
        <f>G14*(1+C7)/(C6-C7)</f>
        <v>16436.943795029332</v>
      </c>
    </row>
    <row r="15" spans="1:8" x14ac:dyDescent="0.3">
      <c r="A15" t="s">
        <v>154</v>
      </c>
      <c r="B15" t="s">
        <v>35</v>
      </c>
      <c r="C15" s="5">
        <f>C14/'Cash Flow'!H11-1</f>
        <v>-4.8670948616601373E-2</v>
      </c>
      <c r="D15" s="5">
        <f>D14/C14-1</f>
        <v>0.73097445325605492</v>
      </c>
      <c r="E15" s="5">
        <f t="shared" ref="E15:G15" si="0">E14/D14-1</f>
        <v>0.32538619503182464</v>
      </c>
      <c r="F15" s="5">
        <f t="shared" si="0"/>
        <v>0.14999999999999991</v>
      </c>
      <c r="G15" s="5">
        <f t="shared" si="0"/>
        <v>0.12000000000000011</v>
      </c>
      <c r="H15" s="5">
        <f>C7</f>
        <v>0.04</v>
      </c>
    </row>
    <row r="16" spans="1:8" x14ac:dyDescent="0.3">
      <c r="A16" t="s">
        <v>155</v>
      </c>
      <c r="C16" s="14">
        <f>1/(1+$C$6)</f>
        <v>0.88495575221238942</v>
      </c>
      <c r="D16" s="14">
        <f>1/(1+$C$6)^2</f>
        <v>0.78314668337379612</v>
      </c>
      <c r="E16" s="14">
        <f>1/(1+$C$6)^3</f>
        <v>0.69305016227769578</v>
      </c>
      <c r="F16" s="14">
        <f>1/(1+$C$6)^4</f>
        <v>0.61331872767937679</v>
      </c>
      <c r="G16" s="14">
        <f>1/(1+$C$6)^5</f>
        <v>0.54275993599944861</v>
      </c>
      <c r="H16" s="14">
        <f>G16</f>
        <v>0.54275993599944861</v>
      </c>
    </row>
    <row r="17" spans="1:8" x14ac:dyDescent="0.3">
      <c r="A17" t="s">
        <v>156</v>
      </c>
      <c r="B17" t="s">
        <v>102</v>
      </c>
      <c r="C17" s="14">
        <f>C14*C16</f>
        <v>425.99336283185818</v>
      </c>
      <c r="D17" s="14">
        <f t="shared" ref="D17:H17" si="1">D14*D16</f>
        <v>652.55188346777356</v>
      </c>
      <c r="E17" s="14">
        <f t="shared" si="1"/>
        <v>765.38341406212669</v>
      </c>
      <c r="F17" s="14">
        <f t="shared" si="1"/>
        <v>778.9300231605713</v>
      </c>
      <c r="G17" s="14">
        <f t="shared" si="1"/>
        <v>772.03683711490271</v>
      </c>
      <c r="H17" s="14">
        <f t="shared" si="1"/>
        <v>8921.3145622166539</v>
      </c>
    </row>
    <row r="19" spans="1:8" x14ac:dyDescent="0.3">
      <c r="A19" t="s">
        <v>157</v>
      </c>
      <c r="B19" t="s">
        <v>102</v>
      </c>
      <c r="C19" s="14">
        <f>SUM(C17:G17)</f>
        <v>3394.895520637232</v>
      </c>
    </row>
    <row r="20" spans="1:8" x14ac:dyDescent="0.3">
      <c r="A20" t="s">
        <v>158</v>
      </c>
      <c r="B20" t="s">
        <v>102</v>
      </c>
      <c r="C20" s="14">
        <f>H17</f>
        <v>8921.3145622166539</v>
      </c>
    </row>
    <row r="21" spans="1:8" x14ac:dyDescent="0.3">
      <c r="A21" t="s">
        <v>113</v>
      </c>
      <c r="B21" t="s">
        <v>102</v>
      </c>
      <c r="C21" s="14">
        <f>C19+C20</f>
        <v>12316.210082853886</v>
      </c>
    </row>
    <row r="22" spans="1:8" x14ac:dyDescent="0.3">
      <c r="A22" s="36" t="s">
        <v>159</v>
      </c>
      <c r="B22" t="s">
        <v>102</v>
      </c>
      <c r="C22" s="27">
        <f>'Balance Sheet'!H27</f>
        <v>1219</v>
      </c>
    </row>
    <row r="23" spans="1:8" x14ac:dyDescent="0.3">
      <c r="A23" t="s">
        <v>160</v>
      </c>
      <c r="B23" t="s">
        <v>102</v>
      </c>
      <c r="C23" s="14">
        <f>C21-C22</f>
        <v>11097.210082853886</v>
      </c>
    </row>
    <row r="24" spans="1:8" x14ac:dyDescent="0.3">
      <c r="A24" t="s">
        <v>95</v>
      </c>
      <c r="B24" t="s">
        <v>98</v>
      </c>
      <c r="C24" s="14">
        <f>Assumptions!C8</f>
        <v>753.38235294117635</v>
      </c>
    </row>
    <row r="25" spans="1:8" x14ac:dyDescent="0.3">
      <c r="A25" t="s">
        <v>161</v>
      </c>
      <c r="B25" t="s">
        <v>101</v>
      </c>
      <c r="C25" s="14">
        <f>C23/C24*10</f>
        <v>147.29851369003794</v>
      </c>
    </row>
    <row r="26" spans="1:8" x14ac:dyDescent="0.3">
      <c r="A26" t="s">
        <v>80</v>
      </c>
      <c r="B26" t="s">
        <v>101</v>
      </c>
      <c r="C26" s="14">
        <f>Assumptions!C7</f>
        <v>457.9</v>
      </c>
    </row>
    <row r="27" spans="1:8" x14ac:dyDescent="0.3">
      <c r="A27" t="s">
        <v>11</v>
      </c>
      <c r="B27" t="s">
        <v>35</v>
      </c>
      <c r="C27" s="5">
        <f>C25/C26-1</f>
        <v>-0.67831728829430449</v>
      </c>
    </row>
    <row r="29" spans="1:8" x14ac:dyDescent="0.3">
      <c r="A29" s="6" t="s">
        <v>162</v>
      </c>
    </row>
    <row r="31" spans="1:8" x14ac:dyDescent="0.3">
      <c r="A31" t="s">
        <v>115</v>
      </c>
      <c r="B31" t="s">
        <v>102</v>
      </c>
      <c r="C31" s="14">
        <f>'Scenario Summary'!C37</f>
        <v>260.54479999999967</v>
      </c>
      <c r="D31" s="14">
        <f>'Scenario Summary'!D37</f>
        <v>470.28587999999968</v>
      </c>
      <c r="E31" s="14">
        <f>'Scenario Summary'!E37</f>
        <v>586.87164159999963</v>
      </c>
      <c r="F31" s="14">
        <f>E31*1.08</f>
        <v>633.82137292799962</v>
      </c>
      <c r="G31">
        <f>F31*1.06</f>
        <v>671.85065530367967</v>
      </c>
      <c r="H31">
        <f>G31*(1+C7)/(C6-C7)</f>
        <v>7763.6075723980766</v>
      </c>
    </row>
    <row r="32" spans="1:8" x14ac:dyDescent="0.3">
      <c r="A32" t="s">
        <v>154</v>
      </c>
      <c r="B32" t="s">
        <v>35</v>
      </c>
      <c r="C32" s="5">
        <f>C31/'Cash Flow'!H11-1</f>
        <v>-0.48508932806324179</v>
      </c>
      <c r="D32" s="5">
        <f>D31/C31-1</f>
        <v>0.80500965668860136</v>
      </c>
      <c r="E32" s="5">
        <f t="shared" ref="E32:G32" si="2">E31/D31-1</f>
        <v>0.24790402297428127</v>
      </c>
      <c r="F32" s="5">
        <f t="shared" si="2"/>
        <v>8.0000000000000071E-2</v>
      </c>
      <c r="G32" s="5">
        <f t="shared" si="2"/>
        <v>6.0000000000000053E-2</v>
      </c>
      <c r="H32" s="5">
        <f>C7</f>
        <v>0.04</v>
      </c>
    </row>
    <row r="33" spans="1:8" x14ac:dyDescent="0.3">
      <c r="A33" t="s">
        <v>155</v>
      </c>
      <c r="C33" s="14">
        <f>1/(1+$C$6)</f>
        <v>0.88495575221238942</v>
      </c>
      <c r="D33" s="14">
        <f>1/(1+$C$6)^2</f>
        <v>0.78314668337379612</v>
      </c>
      <c r="E33" s="14">
        <f>1/(1+$C$6)^3</f>
        <v>0.69305016227769578</v>
      </c>
      <c r="F33" s="14">
        <f>1/(1+$C$6)^4</f>
        <v>0.61331872767937679</v>
      </c>
      <c r="G33" s="14">
        <f>1/(1+$C$6)^5</f>
        <v>0.54275993599944861</v>
      </c>
      <c r="H33" s="14">
        <f>G33</f>
        <v>0.54275993599944861</v>
      </c>
    </row>
    <row r="34" spans="1:8" x14ac:dyDescent="0.3">
      <c r="A34" t="s">
        <v>156</v>
      </c>
      <c r="B34" t="s">
        <v>102</v>
      </c>
      <c r="C34" s="14">
        <f>C31*C33</f>
        <v>230.57061946902627</v>
      </c>
      <c r="D34" s="14">
        <f t="shared" ref="D34:H34" si="3">D31*D33</f>
        <v>368.30282715952683</v>
      </c>
      <c r="E34" s="14">
        <f t="shared" si="3"/>
        <v>406.73148644705748</v>
      </c>
      <c r="F34" s="14">
        <f t="shared" si="3"/>
        <v>388.7345180201965</v>
      </c>
      <c r="G34" s="14">
        <f t="shared" si="3"/>
        <v>364.65361867381279</v>
      </c>
      <c r="H34" s="14">
        <f t="shared" si="3"/>
        <v>4213.775149119615</v>
      </c>
    </row>
    <row r="36" spans="1:8" x14ac:dyDescent="0.3">
      <c r="A36" t="s">
        <v>157</v>
      </c>
      <c r="B36" t="s">
        <v>102</v>
      </c>
      <c r="C36">
        <f>SUM(C34:G34)</f>
        <v>1758.99306976962</v>
      </c>
    </row>
    <row r="37" spans="1:8" x14ac:dyDescent="0.3">
      <c r="A37" t="s">
        <v>158</v>
      </c>
      <c r="B37" t="s">
        <v>102</v>
      </c>
      <c r="C37">
        <f>H34</f>
        <v>4213.775149119615</v>
      </c>
    </row>
    <row r="38" spans="1:8" x14ac:dyDescent="0.3">
      <c r="A38" t="s">
        <v>113</v>
      </c>
      <c r="B38" t="s">
        <v>102</v>
      </c>
      <c r="C38">
        <f>C36+C37</f>
        <v>5972.768218889235</v>
      </c>
    </row>
    <row r="39" spans="1:8" x14ac:dyDescent="0.3">
      <c r="A39" s="36" t="s">
        <v>159</v>
      </c>
      <c r="B39" t="s">
        <v>102</v>
      </c>
      <c r="C39" s="27">
        <f>'Balance Sheet'!H27</f>
        <v>1219</v>
      </c>
    </row>
    <row r="40" spans="1:8" x14ac:dyDescent="0.3">
      <c r="A40" t="s">
        <v>160</v>
      </c>
      <c r="B40" t="s">
        <v>102</v>
      </c>
      <c r="C40" s="27">
        <f>C38-C39</f>
        <v>4753.768218889235</v>
      </c>
    </row>
    <row r="41" spans="1:8" x14ac:dyDescent="0.3">
      <c r="A41" t="s">
        <v>95</v>
      </c>
      <c r="B41" t="s">
        <v>98</v>
      </c>
      <c r="C41" s="14">
        <f>Assumptions!C8</f>
        <v>753.38235294117635</v>
      </c>
    </row>
    <row r="42" spans="1:8" x14ac:dyDescent="0.3">
      <c r="A42" t="s">
        <v>161</v>
      </c>
      <c r="B42" t="s">
        <v>101</v>
      </c>
      <c r="C42" s="14">
        <f>C40/C41*10</f>
        <v>63.099012079732191</v>
      </c>
    </row>
    <row r="43" spans="1:8" x14ac:dyDescent="0.3">
      <c r="A43" t="s">
        <v>80</v>
      </c>
      <c r="B43" t="s">
        <v>101</v>
      </c>
      <c r="C43" s="14">
        <f>Assumptions!C7</f>
        <v>457.9</v>
      </c>
    </row>
    <row r="44" spans="1:8" x14ac:dyDescent="0.3">
      <c r="A44" t="s">
        <v>11</v>
      </c>
      <c r="B44" t="s">
        <v>35</v>
      </c>
      <c r="C44" s="5">
        <f>C42/C43-1</f>
        <v>-0.86219914374376017</v>
      </c>
    </row>
    <row r="46" spans="1:8" x14ac:dyDescent="0.3">
      <c r="A46" s="6" t="s">
        <v>163</v>
      </c>
    </row>
    <row r="48" spans="1:8" x14ac:dyDescent="0.3">
      <c r="A48" t="s">
        <v>115</v>
      </c>
      <c r="B48" t="s">
        <v>102</v>
      </c>
      <c r="C48" s="14">
        <f>'Scenario Summary'!C39</f>
        <v>805.6618999999996</v>
      </c>
      <c r="D48" s="14">
        <f>'Scenario Summary'!D39</f>
        <v>1369.9175</v>
      </c>
      <c r="E48" s="14">
        <f>'Scenario Summary'!E39</f>
        <v>1823.9074229999999</v>
      </c>
      <c r="F48">
        <f>E48*1.2</f>
        <v>2188.6889075999998</v>
      </c>
      <c r="G48">
        <f>F48*1.15</f>
        <v>2516.9922437399996</v>
      </c>
      <c r="H48">
        <f>G48*(1+C7)/(C6-C7)</f>
        <v>29085.24370544</v>
      </c>
    </row>
    <row r="49" spans="1:8" x14ac:dyDescent="0.3">
      <c r="A49" t="s">
        <v>154</v>
      </c>
      <c r="B49" t="s">
        <v>35</v>
      </c>
      <c r="C49" s="5">
        <f>C48/'Cash Flow'!H11-1</f>
        <v>0.59221719367588865</v>
      </c>
      <c r="D49" s="5">
        <f>D48/C48-1</f>
        <v>0.70036277004038627</v>
      </c>
      <c r="E49" s="5">
        <f t="shared" ref="E49:G49" si="4">E48/D48-1</f>
        <v>0.33139946237638385</v>
      </c>
      <c r="F49" s="5">
        <f t="shared" si="4"/>
        <v>0.19999999999999996</v>
      </c>
      <c r="G49" s="5">
        <f t="shared" si="4"/>
        <v>0.14999999999999991</v>
      </c>
      <c r="H49" s="5">
        <v>0.04</v>
      </c>
    </row>
    <row r="50" spans="1:8" x14ac:dyDescent="0.3">
      <c r="A50" t="s">
        <v>155</v>
      </c>
      <c r="C50" s="14">
        <f>1/(1+$C$6)</f>
        <v>0.88495575221238942</v>
      </c>
      <c r="D50" s="14">
        <f>1/(1+$C$6)^2</f>
        <v>0.78314668337379612</v>
      </c>
      <c r="E50" s="14">
        <f>1/(1+$C$6)^3</f>
        <v>0.69305016227769578</v>
      </c>
      <c r="F50" s="14">
        <f>1/(1+$C$6)^4</f>
        <v>0.61331872767937679</v>
      </c>
      <c r="G50" s="14">
        <f>1/(1+$C$6)^5</f>
        <v>0.54275993599944861</v>
      </c>
      <c r="H50" s="14">
        <f>G50</f>
        <v>0.54275993599944861</v>
      </c>
    </row>
    <row r="51" spans="1:8" x14ac:dyDescent="0.3">
      <c r="A51" t="s">
        <v>156</v>
      </c>
      <c r="B51" t="s">
        <v>102</v>
      </c>
      <c r="C51">
        <f>C48*C50</f>
        <v>712.97513274336256</v>
      </c>
      <c r="D51">
        <f t="shared" ref="D51:H51" si="5">D48*D50</f>
        <v>1072.8463466207224</v>
      </c>
      <c r="E51">
        <f t="shared" si="5"/>
        <v>1264.0593354896439</v>
      </c>
      <c r="F51">
        <f t="shared" si="5"/>
        <v>1342.3638960951969</v>
      </c>
      <c r="G51">
        <f t="shared" si="5"/>
        <v>1366.1225491234306</v>
      </c>
      <c r="H51">
        <f t="shared" si="5"/>
        <v>15786.30501209298</v>
      </c>
    </row>
    <row r="53" spans="1:8" x14ac:dyDescent="0.3">
      <c r="A53" t="s">
        <v>157</v>
      </c>
      <c r="B53" t="s">
        <v>102</v>
      </c>
      <c r="C53">
        <f>SUM(C51:G51)</f>
        <v>5758.3672600723567</v>
      </c>
    </row>
    <row r="54" spans="1:8" x14ac:dyDescent="0.3">
      <c r="A54" t="s">
        <v>158</v>
      </c>
      <c r="B54" t="s">
        <v>102</v>
      </c>
      <c r="C54">
        <f>H51</f>
        <v>15786.30501209298</v>
      </c>
    </row>
    <row r="55" spans="1:8" x14ac:dyDescent="0.3">
      <c r="A55" t="s">
        <v>113</v>
      </c>
      <c r="B55" t="s">
        <v>102</v>
      </c>
      <c r="C55">
        <f>C53+C54</f>
        <v>21544.672272165335</v>
      </c>
    </row>
    <row r="56" spans="1:8" x14ac:dyDescent="0.3">
      <c r="A56" s="36" t="s">
        <v>159</v>
      </c>
      <c r="B56" t="s">
        <v>102</v>
      </c>
      <c r="C56" s="27">
        <f>'Balance Sheet'!H27</f>
        <v>1219</v>
      </c>
    </row>
    <row r="57" spans="1:8" x14ac:dyDescent="0.3">
      <c r="A57" t="s">
        <v>160</v>
      </c>
      <c r="B57" t="s">
        <v>102</v>
      </c>
      <c r="C57" s="27">
        <f>C55-C56</f>
        <v>20325.672272165335</v>
      </c>
    </row>
    <row r="58" spans="1:8" x14ac:dyDescent="0.3">
      <c r="A58" t="s">
        <v>95</v>
      </c>
      <c r="B58" t="s">
        <v>98</v>
      </c>
      <c r="C58" s="14">
        <f>Assumptions!C8</f>
        <v>753.38235294117635</v>
      </c>
    </row>
    <row r="59" spans="1:8" x14ac:dyDescent="0.3">
      <c r="A59" t="s">
        <v>161</v>
      </c>
      <c r="B59" t="s">
        <v>101</v>
      </c>
      <c r="C59" s="14">
        <f>C57/C58*10</f>
        <v>269.79225346618057</v>
      </c>
    </row>
    <row r="60" spans="1:8" x14ac:dyDescent="0.3">
      <c r="A60" t="s">
        <v>80</v>
      </c>
      <c r="B60" t="s">
        <v>101</v>
      </c>
      <c r="C60" s="14">
        <f>Assumptions!C7</f>
        <v>457.9</v>
      </c>
    </row>
    <row r="61" spans="1:8" x14ac:dyDescent="0.3">
      <c r="A61" t="s">
        <v>11</v>
      </c>
      <c r="B61" t="s">
        <v>35</v>
      </c>
      <c r="C61" s="5">
        <f>C59/C60-1</f>
        <v>-0.41080529926582099</v>
      </c>
    </row>
    <row r="64" spans="1:8" x14ac:dyDescent="0.3">
      <c r="A64" s="6" t="s">
        <v>164</v>
      </c>
    </row>
    <row r="65" spans="1:6" x14ac:dyDescent="0.3">
      <c r="A65" t="s">
        <v>165</v>
      </c>
      <c r="B65" t="s">
        <v>101</v>
      </c>
      <c r="C65" s="14">
        <f>C42</f>
        <v>63.099012079732191</v>
      </c>
    </row>
    <row r="66" spans="1:6" x14ac:dyDescent="0.3">
      <c r="A66" t="s">
        <v>166</v>
      </c>
      <c r="B66" t="s">
        <v>101</v>
      </c>
      <c r="C66" s="14">
        <f>C25</f>
        <v>147.29851369003794</v>
      </c>
    </row>
    <row r="67" spans="1:6" x14ac:dyDescent="0.3">
      <c r="A67" t="s">
        <v>167</v>
      </c>
      <c r="B67" t="s">
        <v>101</v>
      </c>
      <c r="C67" s="14">
        <f>C59</f>
        <v>269.79225346618057</v>
      </c>
    </row>
    <row r="68" spans="1:6" x14ac:dyDescent="0.3">
      <c r="A68" t="s">
        <v>168</v>
      </c>
      <c r="B68" t="s">
        <v>101</v>
      </c>
      <c r="C68" s="14">
        <f>25%*C65+50%*C66+25%*C67</f>
        <v>156.87207323149715</v>
      </c>
    </row>
    <row r="69" spans="1:6" x14ac:dyDescent="0.3">
      <c r="A69" t="s">
        <v>169</v>
      </c>
      <c r="B69" t="s">
        <v>35</v>
      </c>
      <c r="C69" s="5">
        <f>C68/Assumptions!C7-1</f>
        <v>-0.65740975489954756</v>
      </c>
    </row>
    <row r="72" spans="1:6" x14ac:dyDescent="0.3">
      <c r="A72" s="6" t="s">
        <v>170</v>
      </c>
      <c r="B72" s="31"/>
      <c r="C72" s="31"/>
    </row>
    <row r="74" spans="1:6" x14ac:dyDescent="0.3">
      <c r="A74" s="14">
        <f>C25</f>
        <v>147.29851369003794</v>
      </c>
      <c r="B74" s="5">
        <v>0.03</v>
      </c>
      <c r="C74" s="5">
        <v>0.04</v>
      </c>
      <c r="D74" s="5">
        <v>0.05</v>
      </c>
      <c r="E74" s="5">
        <v>0.06</v>
      </c>
      <c r="F74" s="5">
        <v>7.0000000000000007E-2</v>
      </c>
    </row>
    <row r="75" spans="1:6" x14ac:dyDescent="0.3">
      <c r="A75" s="5">
        <v>0.11</v>
      </c>
      <c r="B75" s="14">
        <f t="dataTable" ref="B75:F79" dt2D="1" dtr="1" r1="C7" r2="C6"/>
        <v>175.84064668385548</v>
      </c>
      <c r="C75" s="14">
        <v>198.04994588644087</v>
      </c>
      <c r="D75" s="14">
        <v>227.66234482322145</v>
      </c>
      <c r="E75" s="14">
        <v>269.11970333471413</v>
      </c>
      <c r="F75" s="14">
        <v>331.30574110195323</v>
      </c>
    </row>
    <row r="76" spans="1:6" x14ac:dyDescent="0.3">
      <c r="A76" s="5">
        <v>0.12</v>
      </c>
      <c r="B76" s="14">
        <v>152.8102193213424</v>
      </c>
      <c r="C76" s="14">
        <v>169.47540704027486</v>
      </c>
      <c r="D76" s="14">
        <v>190.90207696461661</v>
      </c>
      <c r="E76" s="14">
        <v>219.47097019707223</v>
      </c>
      <c r="F76" s="14">
        <v>259.46742072251021</v>
      </c>
    </row>
    <row r="77" spans="1:6" x14ac:dyDescent="0.3">
      <c r="A77" s="5">
        <v>0.13</v>
      </c>
      <c r="B77" s="14">
        <v>134.4320702944778</v>
      </c>
      <c r="C77" s="14">
        <v>147.29851369003794</v>
      </c>
      <c r="D77" s="14">
        <v>163.38156793448809</v>
      </c>
      <c r="E77" s="14">
        <v>184.05978053449547</v>
      </c>
      <c r="F77" s="14">
        <v>211.63073066783863</v>
      </c>
    </row>
    <row r="78" spans="1:6" x14ac:dyDescent="0.3">
      <c r="A78" s="5">
        <v>0.14000000000000001</v>
      </c>
      <c r="B78" s="14">
        <v>119.43564861694898</v>
      </c>
      <c r="C78" s="14">
        <v>129.59819887989121</v>
      </c>
      <c r="D78" s="14">
        <v>142.01909364570949</v>
      </c>
      <c r="E78" s="14">
        <v>157.5452121029823</v>
      </c>
      <c r="F78" s="14">
        <v>177.5073644051902</v>
      </c>
    </row>
    <row r="79" spans="1:6" x14ac:dyDescent="0.3">
      <c r="A79" s="5">
        <v>0.15</v>
      </c>
      <c r="B79" s="14">
        <v>106.97400329672584</v>
      </c>
      <c r="C79" s="14">
        <v>115.15204845718337</v>
      </c>
      <c r="D79" s="14">
        <v>124.96570264973241</v>
      </c>
      <c r="E79" s="14">
        <v>136.96016888507009</v>
      </c>
      <c r="F79" s="14">
        <v>151.95325167924221</v>
      </c>
    </row>
    <row r="82" spans="1:3" x14ac:dyDescent="0.3">
      <c r="A82" s="6" t="s">
        <v>171</v>
      </c>
    </row>
    <row r="84" spans="1:3" x14ac:dyDescent="0.3">
      <c r="A84" t="s">
        <v>80</v>
      </c>
      <c r="B84" t="s">
        <v>101</v>
      </c>
      <c r="C84" s="14">
        <f>Assumptions!C7</f>
        <v>457.9</v>
      </c>
    </row>
    <row r="85" spans="1:3" x14ac:dyDescent="0.3">
      <c r="A85" t="s">
        <v>172</v>
      </c>
      <c r="B85" t="s">
        <v>102</v>
      </c>
      <c r="C85">
        <f>C84*C9/10</f>
        <v>34497.377941176463</v>
      </c>
    </row>
    <row r="86" spans="1:3" x14ac:dyDescent="0.3">
      <c r="A86" t="s">
        <v>173</v>
      </c>
      <c r="B86" t="s">
        <v>102</v>
      </c>
      <c r="C86" s="27">
        <f>C85+'Balance Sheet'!H27</f>
        <v>35716.377941176463</v>
      </c>
    </row>
    <row r="87" spans="1:3" x14ac:dyDescent="0.3">
      <c r="A87" t="s">
        <v>174</v>
      </c>
      <c r="B87" t="s">
        <v>102</v>
      </c>
      <c r="C87" s="14">
        <f>C86-C19</f>
        <v>32321.482420539229</v>
      </c>
    </row>
    <row r="88" spans="1:3" x14ac:dyDescent="0.3">
      <c r="A88" t="s">
        <v>175</v>
      </c>
      <c r="B88" t="s">
        <v>102</v>
      </c>
      <c r="C88">
        <f>C87/H16</f>
        <v>59550.236258727957</v>
      </c>
    </row>
    <row r="89" spans="1:3" x14ac:dyDescent="0.3">
      <c r="A89" t="s">
        <v>176</v>
      </c>
      <c r="B89" t="s">
        <v>35</v>
      </c>
      <c r="C89" s="5">
        <f>(C88/G14*C6-1)/(1+C88/G14)</f>
        <v>0.10363829397690716</v>
      </c>
    </row>
    <row r="91" spans="1:3" x14ac:dyDescent="0.3">
      <c r="A91" t="s">
        <v>181</v>
      </c>
    </row>
    <row r="92" spans="1:3" x14ac:dyDescent="0.3">
      <c r="A92" t="s">
        <v>182</v>
      </c>
    </row>
    <row r="93" spans="1:3" x14ac:dyDescent="0.3">
      <c r="A93" t="s">
        <v>183</v>
      </c>
    </row>
    <row r="97" spans="1:1" x14ac:dyDescent="0.3">
      <c r="A97" t="s">
        <v>138</v>
      </c>
    </row>
    <row r="98" spans="1:1" x14ac:dyDescent="0.3">
      <c r="A98" t="s">
        <v>177</v>
      </c>
    </row>
    <row r="99" spans="1:1" x14ac:dyDescent="0.3">
      <c r="A99" t="s">
        <v>215</v>
      </c>
    </row>
    <row r="100" spans="1:1" x14ac:dyDescent="0.3">
      <c r="A100" t="s">
        <v>178</v>
      </c>
    </row>
    <row r="101" spans="1:1" x14ac:dyDescent="0.3">
      <c r="A101" t="s">
        <v>179</v>
      </c>
    </row>
    <row r="102" spans="1:1" x14ac:dyDescent="0.3">
      <c r="A102" t="s">
        <v>180</v>
      </c>
    </row>
  </sheetData>
  <pageMargins left="0.7" right="0.7" top="0.75" bottom="0.75" header="0.3" footer="0.3"/>
  <pageSetup paperSize="9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C591-9D8B-4ED8-A2E5-CC86266332B1}">
  <sheetPr>
    <tabColor rgb="FF002060"/>
  </sheetPr>
  <dimension ref="A3:E78"/>
  <sheetViews>
    <sheetView topLeftCell="A58" zoomScale="97" workbookViewId="0">
      <selection activeCell="A60" sqref="A60"/>
    </sheetView>
  </sheetViews>
  <sheetFormatPr defaultRowHeight="14.4" x14ac:dyDescent="0.3"/>
  <cols>
    <col min="1" max="1" width="29.6640625" bestFit="1" customWidth="1"/>
    <col min="2" max="2" width="4.5546875" customWidth="1"/>
    <col min="3" max="3" width="10.88671875" customWidth="1"/>
    <col min="4" max="4" width="11.21875" customWidth="1"/>
    <col min="5" max="5" width="11.109375" customWidth="1"/>
  </cols>
  <sheetData>
    <row r="3" spans="1:5" x14ac:dyDescent="0.3">
      <c r="A3" s="6" t="s">
        <v>77</v>
      </c>
    </row>
    <row r="4" spans="1:5" x14ac:dyDescent="0.3">
      <c r="B4" t="s">
        <v>34</v>
      </c>
    </row>
    <row r="6" spans="1:5" x14ac:dyDescent="0.3">
      <c r="A6" s="6" t="s">
        <v>79</v>
      </c>
    </row>
    <row r="7" spans="1:5" x14ac:dyDescent="0.3">
      <c r="A7" t="s">
        <v>8</v>
      </c>
      <c r="B7" t="s">
        <v>101</v>
      </c>
      <c r="C7" s="14">
        <f>Assumptions!C7</f>
        <v>457.9</v>
      </c>
    </row>
    <row r="8" spans="1:5" x14ac:dyDescent="0.3">
      <c r="A8" t="s">
        <v>95</v>
      </c>
      <c r="B8" t="s">
        <v>98</v>
      </c>
      <c r="C8" s="14">
        <f>Assumptions!C8</f>
        <v>753.38235294117635</v>
      </c>
      <c r="D8" s="14"/>
    </row>
    <row r="9" spans="1:5" x14ac:dyDescent="0.3">
      <c r="A9" t="s">
        <v>97</v>
      </c>
      <c r="B9" t="s">
        <v>102</v>
      </c>
      <c r="C9" s="14">
        <f>Assumptions!C9</f>
        <v>34497.377941176463</v>
      </c>
      <c r="D9" s="5"/>
    </row>
    <row r="10" spans="1:5" x14ac:dyDescent="0.3">
      <c r="A10" t="s">
        <v>113</v>
      </c>
      <c r="B10" t="s">
        <v>102</v>
      </c>
      <c r="C10" s="14">
        <f>C9+'Balance Sheet'!H27</f>
        <v>35716.377941176463</v>
      </c>
      <c r="D10" s="14"/>
    </row>
    <row r="13" spans="1:5" x14ac:dyDescent="0.3">
      <c r="A13" s="6" t="s">
        <v>82</v>
      </c>
    </row>
    <row r="14" spans="1:5" x14ac:dyDescent="0.3">
      <c r="C14" t="s">
        <v>29</v>
      </c>
      <c r="D14" t="s">
        <v>30</v>
      </c>
      <c r="E14" t="s">
        <v>31</v>
      </c>
    </row>
    <row r="16" spans="1:5" x14ac:dyDescent="0.3">
      <c r="A16" s="3" t="s">
        <v>114</v>
      </c>
    </row>
    <row r="17" spans="1:5" x14ac:dyDescent="0.3">
      <c r="A17" t="s">
        <v>74</v>
      </c>
      <c r="B17" t="s">
        <v>102</v>
      </c>
      <c r="C17" s="14">
        <f>'Income Statement'!$H$6*(1+Assumptions!C16)</f>
        <v>12609.6</v>
      </c>
      <c r="D17" s="14">
        <f>C17*(1+Assumptions!D16)</f>
        <v>14501.039999999999</v>
      </c>
      <c r="E17" s="14">
        <f>D17*(1+Assumptions!E16)</f>
        <v>16241.1648</v>
      </c>
    </row>
    <row r="18" spans="1:5" x14ac:dyDescent="0.3">
      <c r="A18" t="s">
        <v>75</v>
      </c>
      <c r="B18" t="s">
        <v>102</v>
      </c>
      <c r="C18" s="14">
        <f>'Income Statement'!$H$6*(1+Assumptions!C17)</f>
        <v>13135</v>
      </c>
      <c r="D18" s="14">
        <f>C18*(1+Assumptions!D17)</f>
        <v>15762</v>
      </c>
      <c r="E18" s="14">
        <f>D18*(1+Assumptions!E17)</f>
        <v>18599.16</v>
      </c>
    </row>
    <row r="19" spans="1:5" x14ac:dyDescent="0.3">
      <c r="A19" t="s">
        <v>76</v>
      </c>
      <c r="B19" t="s">
        <v>102</v>
      </c>
      <c r="C19" s="14">
        <f>'Income Statement'!$H$6*(1+Assumptions!C18)</f>
        <v>13660.4</v>
      </c>
      <c r="D19" s="14">
        <f>C19*(1+Assumptions!D18)</f>
        <v>17075.5</v>
      </c>
      <c r="E19" s="14">
        <f>D19*(1+Assumptions!E18)</f>
        <v>20832.11</v>
      </c>
    </row>
    <row r="21" spans="1:5" x14ac:dyDescent="0.3">
      <c r="A21" s="3" t="s">
        <v>16</v>
      </c>
    </row>
    <row r="22" spans="1:5" x14ac:dyDescent="0.3">
      <c r="A22" t="s">
        <v>74</v>
      </c>
      <c r="B22" t="s">
        <v>35</v>
      </c>
      <c r="C22" s="5">
        <f>1-Assumptions!C21</f>
        <v>7.999999999999996E-2</v>
      </c>
      <c r="D22" s="5">
        <f>1-Assumptions!D21</f>
        <v>8.9999999999999969E-2</v>
      </c>
      <c r="E22" s="5">
        <f>1-Assumptions!E21</f>
        <v>9.4999999999999973E-2</v>
      </c>
    </row>
    <row r="23" spans="1:5" x14ac:dyDescent="0.3">
      <c r="A23" t="s">
        <v>75</v>
      </c>
      <c r="B23" t="s">
        <v>35</v>
      </c>
      <c r="C23" s="5">
        <f>1-Assumptions!C22</f>
        <v>8.9999999999999969E-2</v>
      </c>
      <c r="D23" s="5">
        <f>1-Assumptions!D22</f>
        <v>0.10499999999999998</v>
      </c>
      <c r="E23" s="5">
        <f>1-Assumptions!E22</f>
        <v>0.11499999999999999</v>
      </c>
    </row>
    <row r="24" spans="1:5" x14ac:dyDescent="0.3">
      <c r="A24" t="s">
        <v>76</v>
      </c>
      <c r="B24" t="s">
        <v>35</v>
      </c>
      <c r="C24" s="5">
        <f>1-Assumptions!C23</f>
        <v>0.10499999999999998</v>
      </c>
      <c r="D24" s="5">
        <f>1-Assumptions!D23</f>
        <v>0.125</v>
      </c>
      <c r="E24" s="5">
        <f>1-Assumptions!E23</f>
        <v>0.14000000000000001</v>
      </c>
    </row>
    <row r="26" spans="1:5" x14ac:dyDescent="0.3">
      <c r="A26" s="3" t="s">
        <v>21</v>
      </c>
    </row>
    <row r="27" spans="1:5" x14ac:dyDescent="0.3">
      <c r="A27" t="s">
        <v>74</v>
      </c>
      <c r="B27" t="s">
        <v>102</v>
      </c>
      <c r="C27" s="14">
        <f>(C17*C22-Assumptions!C26-Assumptions!C31+Assumptions!C36)*(1-Assumptions!C41)</f>
        <v>296.45279999999963</v>
      </c>
      <c r="D27" s="14">
        <f>(D17*D22-Assumptions!D26-Assumptions!D31+Assumptions!D36)*(1-Assumptions!D41)</f>
        <v>484.07487999999961</v>
      </c>
      <c r="E27" s="14">
        <f>(E17*E22-Assumptions!E26-Assumptions!E31+Assumptions!E36)*(1-Assumptions!E41)</f>
        <v>613.43299199999967</v>
      </c>
    </row>
    <row r="28" spans="1:5" x14ac:dyDescent="0.3">
      <c r="A28" t="s">
        <v>75</v>
      </c>
      <c r="B28" t="s">
        <v>102</v>
      </c>
      <c r="C28" s="14">
        <f>(C18*C23-Assumptions!C27-Assumptions!C32+Assumptions!C37)*(1-Assumptions!C42)</f>
        <v>523.93499999999972</v>
      </c>
      <c r="D28" s="14">
        <f>(D18*D23-Assumptions!D27-Assumptions!D32+Assumptions!D37)*(1-Assumptions!D42)</f>
        <v>875.5084999999998</v>
      </c>
      <c r="E28" s="14">
        <f>(E18*E23-Assumptions!E27-Assumptions!E32+Assumptions!E37)*(1-Assumptions!E42)</f>
        <v>1173.0446519999998</v>
      </c>
    </row>
    <row r="29" spans="1:5" x14ac:dyDescent="0.3">
      <c r="A29" t="s">
        <v>76</v>
      </c>
      <c r="B29" t="s">
        <v>102</v>
      </c>
      <c r="C29" s="14">
        <f>(C19*C24-Assumptions!C28-Assumptions!C33+Assumptions!C38)*(1-Assumptions!C43)</f>
        <v>849.62489999999957</v>
      </c>
      <c r="D29" s="14">
        <f>(D19*D24-Assumptions!D28-Assumptions!D33+Assumptions!D38)*(1-Assumptions!D43)</f>
        <v>1439.4937500000001</v>
      </c>
      <c r="E29" s="14">
        <f>(E19*E24-Assumptions!E28-Assumptions!E33+Assumptions!E38)*(1-Assumptions!E43)</f>
        <v>1965.1262280000003</v>
      </c>
    </row>
    <row r="31" spans="1:5" x14ac:dyDescent="0.3">
      <c r="A31" s="3" t="s">
        <v>32</v>
      </c>
    </row>
    <row r="32" spans="1:5" x14ac:dyDescent="0.3">
      <c r="A32" t="s">
        <v>74</v>
      </c>
      <c r="B32" t="s">
        <v>101</v>
      </c>
      <c r="C32" s="14">
        <f>C27/Assumptions!$C$8*10</f>
        <v>3.9349581104821354</v>
      </c>
      <c r="D32" s="14">
        <f>D27/Assumptions!$C$8*10</f>
        <v>6.4253546437634155</v>
      </c>
      <c r="E32" s="14">
        <f>E27/Assumptions!$C$8*10</f>
        <v>8.1423859957056379</v>
      </c>
    </row>
    <row r="33" spans="1:5" x14ac:dyDescent="0.3">
      <c r="A33" t="s">
        <v>75</v>
      </c>
      <c r="B33" t="s">
        <v>101</v>
      </c>
      <c r="C33" s="14">
        <f>C28/Assumptions!$C$8*10</f>
        <v>6.9544368534062055</v>
      </c>
      <c r="D33" s="14">
        <f>D28/Assumptions!$C$8*10</f>
        <v>11.621038063634588</v>
      </c>
      <c r="E33" s="14">
        <f>E28/Assumptions!$C$8*10</f>
        <v>15.570376017177434</v>
      </c>
    </row>
    <row r="34" spans="1:5" x14ac:dyDescent="0.3">
      <c r="A34" t="s">
        <v>76</v>
      </c>
      <c r="B34" t="s">
        <v>101</v>
      </c>
      <c r="C34" s="14">
        <f>C29/Assumptions!$C$8*10</f>
        <v>11.277472808901031</v>
      </c>
      <c r="D34" s="14">
        <f>D29/Assumptions!$C$8*10</f>
        <v>19.107080812024208</v>
      </c>
      <c r="E34" s="14">
        <f>E29/Assumptions!$C$8*10</f>
        <v>26.084049093109517</v>
      </c>
    </row>
    <row r="36" spans="1:5" x14ac:dyDescent="0.3">
      <c r="A36" s="3" t="s">
        <v>115</v>
      </c>
    </row>
    <row r="37" spans="1:5" x14ac:dyDescent="0.3">
      <c r="A37" t="s">
        <v>74</v>
      </c>
      <c r="B37" t="s">
        <v>102</v>
      </c>
      <c r="C37" s="14">
        <f>(C17*C22-(C17*C22-Assumptions!C26-Assumptions!C31+Assumptions!C36)*Assumptions!C41-Assumptions!C31+Assumptions!$C$73*C17)-Assumptions!C69*C17</f>
        <v>260.54479999999967</v>
      </c>
      <c r="D37" s="14">
        <f>(D17*D22-(D17*D22-Assumptions!D26-Assumptions!D31+Assumptions!D36)*Assumptions!D41-Assumptions!D31+Assumptions!$D$73*D17)-Assumptions!D69*D17</f>
        <v>470.28587999999968</v>
      </c>
      <c r="E37" s="14">
        <f>(E17*E22-(E17*E22-Assumptions!E26-Assumptions!E31+Assumptions!E36)*Assumptions!E41-Assumptions!E31+Assumptions!$E$73*E17)-Assumptions!E69*E17</f>
        <v>586.87164159999963</v>
      </c>
    </row>
    <row r="38" spans="1:5" x14ac:dyDescent="0.3">
      <c r="A38" t="s">
        <v>75</v>
      </c>
      <c r="B38" t="s">
        <v>102</v>
      </c>
      <c r="C38" s="14">
        <f>(C18*C23-(C18*C23-Assumptions!C27-Assumptions!C32+Assumptions!C37)*Assumptions!C42-Assumptions!C32+Assumptions!$C$73*C18)-Assumptions!C70*C18</f>
        <v>481.37249999999972</v>
      </c>
      <c r="D38" s="14">
        <f>(D18*D23-(D18*D23-Assumptions!D27-Assumptions!D32+Assumptions!D37)*Assumptions!D42-Assumptions!D32+Assumptions!$D$73*D18)-Assumptions!D70*D18</f>
        <v>833.24349999999981</v>
      </c>
      <c r="E38" s="14">
        <f>(E18*E23-(E18*E23-Assumptions!E27-Assumptions!E32+Assumptions!E37)*Assumptions!E42-Assumptions!E32+Assumptions!$E$73*E18)-Assumptions!E70*E18</f>
        <v>1104.369432</v>
      </c>
    </row>
    <row r="39" spans="1:5" x14ac:dyDescent="0.3">
      <c r="A39" t="s">
        <v>76</v>
      </c>
      <c r="B39" t="s">
        <v>102</v>
      </c>
      <c r="C39" s="14">
        <f>(C19*C24-(C19*C24-Assumptions!C28-Assumptions!C33+Assumptions!C38)*Assumptions!C43-Assumptions!C33+Assumptions!$C$73*C19)-Assumptions!C71*C19</f>
        <v>805.6618999999996</v>
      </c>
      <c r="D39" s="14">
        <f>(D19*D24-(D19*D24-Assumptions!D28-Assumptions!D33+Assumptions!D38)*Assumptions!D43-Assumptions!D33+Assumptions!$D$73*D19)-Assumptions!D71*D19</f>
        <v>1369.9175</v>
      </c>
      <c r="E39" s="14">
        <f>(E19*E24-(E19*E24-Assumptions!E28-Assumptions!E33+Assumptions!E38)*Assumptions!E43-Assumptions!E33+Assumptions!$E$73*E19)-Assumptions!E71*E19</f>
        <v>1823.9074229999999</v>
      </c>
    </row>
    <row r="42" spans="1:5" x14ac:dyDescent="0.3">
      <c r="A42" s="6" t="s">
        <v>78</v>
      </c>
    </row>
    <row r="44" spans="1:5" x14ac:dyDescent="0.3">
      <c r="A44" s="3" t="s">
        <v>116</v>
      </c>
    </row>
    <row r="45" spans="1:5" x14ac:dyDescent="0.3">
      <c r="A45" t="s">
        <v>74</v>
      </c>
      <c r="B45" t="s">
        <v>62</v>
      </c>
      <c r="C45" s="14">
        <f>$C$9/C27</f>
        <v>116.36718540414024</v>
      </c>
      <c r="D45" s="14">
        <f>$C$9/D27</f>
        <v>71.264548867267166</v>
      </c>
    </row>
    <row r="46" spans="1:5" x14ac:dyDescent="0.3">
      <c r="A46" t="s">
        <v>75</v>
      </c>
      <c r="B46" t="s">
        <v>62</v>
      </c>
      <c r="C46" s="14">
        <f t="shared" ref="C46:D46" si="0">$C$9/C28</f>
        <v>65.842858257563407</v>
      </c>
      <c r="D46" s="14">
        <f t="shared" si="0"/>
        <v>39.40267620608649</v>
      </c>
    </row>
    <row r="47" spans="1:5" x14ac:dyDescent="0.3">
      <c r="A47" t="s">
        <v>76</v>
      </c>
      <c r="B47" t="s">
        <v>62</v>
      </c>
      <c r="C47" s="14">
        <f t="shared" ref="C47:D47" si="1">$C$9/C29</f>
        <v>40.603068414280798</v>
      </c>
      <c r="D47" s="14">
        <f t="shared" si="1"/>
        <v>23.96493763253676</v>
      </c>
    </row>
    <row r="48" spans="1:5" x14ac:dyDescent="0.3">
      <c r="C48" s="14"/>
      <c r="D48" s="14"/>
    </row>
    <row r="49" spans="1:5" x14ac:dyDescent="0.3">
      <c r="A49" s="3" t="s">
        <v>117</v>
      </c>
      <c r="C49" s="14"/>
      <c r="D49" s="14"/>
    </row>
    <row r="50" spans="1:5" x14ac:dyDescent="0.3">
      <c r="A50" t="s">
        <v>74</v>
      </c>
      <c r="B50" t="s">
        <v>62</v>
      </c>
      <c r="C50" s="14">
        <f t="shared" ref="C50:D52" si="2">$C$10/(C22*C17)</f>
        <v>35.40593867090994</v>
      </c>
      <c r="D50" s="14">
        <f t="shared" si="2"/>
        <v>27.366909117611549</v>
      </c>
    </row>
    <row r="51" spans="1:5" x14ac:dyDescent="0.3">
      <c r="A51" t="s">
        <v>75</v>
      </c>
      <c r="B51" t="s">
        <v>62</v>
      </c>
      <c r="C51" s="14">
        <f t="shared" si="2"/>
        <v>30.213067665843145</v>
      </c>
      <c r="D51" s="14">
        <f t="shared" si="2"/>
        <v>21.580762618459385</v>
      </c>
    </row>
    <row r="52" spans="1:5" x14ac:dyDescent="0.3">
      <c r="A52" t="s">
        <v>76</v>
      </c>
      <c r="B52" t="s">
        <v>62</v>
      </c>
      <c r="C52" s="14">
        <f t="shared" si="2"/>
        <v>24.900879944376218</v>
      </c>
      <c r="D52" s="14">
        <f t="shared" si="2"/>
        <v>16.733391322620815</v>
      </c>
    </row>
    <row r="54" spans="1:5" x14ac:dyDescent="0.3">
      <c r="A54" s="3" t="s">
        <v>118</v>
      </c>
    </row>
    <row r="55" spans="1:5" x14ac:dyDescent="0.3">
      <c r="A55" t="s">
        <v>74</v>
      </c>
      <c r="B55" t="s">
        <v>62</v>
      </c>
      <c r="C55" s="14">
        <f>$C$9/C37</f>
        <v>132.40478390348417</v>
      </c>
      <c r="D55" s="14">
        <f>$C$9/D37</f>
        <v>73.354058474340093</v>
      </c>
    </row>
    <row r="56" spans="1:5" x14ac:dyDescent="0.3">
      <c r="A56" t="s">
        <v>75</v>
      </c>
      <c r="B56" t="s">
        <v>62</v>
      </c>
      <c r="C56" s="14">
        <f t="shared" ref="C56:D57" si="3">$C$9/C38</f>
        <v>71.66462135077613</v>
      </c>
      <c r="D56" s="14">
        <f t="shared" si="3"/>
        <v>41.401316591340311</v>
      </c>
    </row>
    <row r="57" spans="1:5" x14ac:dyDescent="0.3">
      <c r="A57" t="s">
        <v>76</v>
      </c>
      <c r="B57" t="s">
        <v>62</v>
      </c>
      <c r="C57" s="14">
        <f t="shared" si="3"/>
        <v>42.818678581147353</v>
      </c>
      <c r="D57" s="14">
        <f t="shared" si="3"/>
        <v>25.182084279656593</v>
      </c>
    </row>
    <row r="61" spans="1:5" x14ac:dyDescent="0.3">
      <c r="A61" s="6" t="s">
        <v>86</v>
      </c>
    </row>
    <row r="62" spans="1:5" x14ac:dyDescent="0.3">
      <c r="C62" t="s">
        <v>83</v>
      </c>
      <c r="D62" t="s">
        <v>84</v>
      </c>
      <c r="E62" t="s">
        <v>85</v>
      </c>
    </row>
    <row r="64" spans="1:5" x14ac:dyDescent="0.3">
      <c r="A64" t="s">
        <v>87</v>
      </c>
      <c r="B64" t="s">
        <v>62</v>
      </c>
      <c r="C64">
        <v>35</v>
      </c>
      <c r="D64">
        <v>45</v>
      </c>
      <c r="E64">
        <v>55</v>
      </c>
    </row>
    <row r="65" spans="1:5" x14ac:dyDescent="0.3">
      <c r="A65" t="s">
        <v>88</v>
      </c>
      <c r="B65" t="s">
        <v>101</v>
      </c>
      <c r="C65" s="14">
        <f>C64*D32</f>
        <v>224.88741253171955</v>
      </c>
      <c r="D65" s="14">
        <f>D64*D33</f>
        <v>522.9467128635564</v>
      </c>
      <c r="E65" s="14">
        <f>E64*D34</f>
        <v>1050.8894446613315</v>
      </c>
    </row>
    <row r="66" spans="1:5" x14ac:dyDescent="0.3">
      <c r="A66" t="s">
        <v>119</v>
      </c>
      <c r="B66" t="s">
        <v>35</v>
      </c>
      <c r="C66" s="5">
        <f>C65/$C$7-1</f>
        <v>-0.50887221547997474</v>
      </c>
      <c r="D66" s="5">
        <f t="shared" ref="D66:E66" si="4">D65/$C$7-1</f>
        <v>0.14205440677780401</v>
      </c>
      <c r="E66" s="5">
        <f t="shared" si="4"/>
        <v>1.2950195340933206</v>
      </c>
    </row>
    <row r="68" spans="1:5" x14ac:dyDescent="0.3">
      <c r="A68" t="s">
        <v>89</v>
      </c>
      <c r="B68" t="s">
        <v>35</v>
      </c>
      <c r="C68" s="5">
        <v>0.25</v>
      </c>
      <c r="D68" s="5">
        <v>0.5</v>
      </c>
      <c r="E68" s="5">
        <v>0.25</v>
      </c>
    </row>
    <row r="69" spans="1:5" x14ac:dyDescent="0.3">
      <c r="C69" s="5"/>
      <c r="D69" s="5"/>
      <c r="E69" s="5"/>
    </row>
    <row r="70" spans="1:5" x14ac:dyDescent="0.3">
      <c r="A70" t="s">
        <v>90</v>
      </c>
      <c r="B70" t="s">
        <v>101</v>
      </c>
      <c r="C70" s="14">
        <f>C68*C65+D68*D65+E68*E65</f>
        <v>580.41757073004101</v>
      </c>
    </row>
    <row r="71" spans="1:5" x14ac:dyDescent="0.3">
      <c r="A71" t="s">
        <v>91</v>
      </c>
      <c r="B71" t="s">
        <v>35</v>
      </c>
      <c r="C71" s="5">
        <f>C70/C7-1</f>
        <v>0.26756403304223864</v>
      </c>
      <c r="D71" s="14"/>
    </row>
    <row r="72" spans="1:5" x14ac:dyDescent="0.3">
      <c r="D72" s="14"/>
    </row>
    <row r="73" spans="1:5" x14ac:dyDescent="0.3">
      <c r="A73" s="6" t="s">
        <v>92</v>
      </c>
      <c r="C73" s="3" t="s">
        <v>120</v>
      </c>
      <c r="D73" s="14"/>
    </row>
    <row r="76" spans="1:5" x14ac:dyDescent="0.3">
      <c r="D76" s="5"/>
    </row>
    <row r="77" spans="1:5" x14ac:dyDescent="0.3">
      <c r="D77" s="5"/>
    </row>
    <row r="78" spans="1:5" x14ac:dyDescent="0.3">
      <c r="D7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Assumptions</vt:lpstr>
      <vt:lpstr>Income Statement</vt:lpstr>
      <vt:lpstr>Balance Sheet</vt:lpstr>
      <vt:lpstr>Cash Flow</vt:lpstr>
      <vt:lpstr>Unit Economics</vt:lpstr>
      <vt:lpstr>Comps</vt:lpstr>
      <vt:lpstr>DCF</vt:lpstr>
      <vt:lpstr>Scenario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Baranwal</dc:creator>
  <cp:lastModifiedBy>Aakash Amar</cp:lastModifiedBy>
  <cp:lastPrinted>2026-09-12T06:14:26Z</cp:lastPrinted>
  <dcterms:created xsi:type="dcterms:W3CDTF">2015-06-05T18:17:20Z</dcterms:created>
  <dcterms:modified xsi:type="dcterms:W3CDTF">2026-09-27T18:10:53Z</dcterms:modified>
</cp:coreProperties>
</file>